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問題一覧" sheetId="1" state="visible" r:id="rId3"/>
    <sheet name="出題用（解答欄）" sheetId="2" state="visible" r:id="rId4"/>
    <sheet name="分野別集計" sheetId="3" state="visible" r:id="rId5"/>
    <sheet name="使い方・凡例" sheetId="4" state="visible" r:id="rId6"/>
  </sheets>
  <definedNames>
    <definedName function="false" hidden="true" localSheetId="0" name="_xlnm._FilterDatabase" vbProcedure="false">問題一覧!$A$1:$I$207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<sst xmlns="http://schemas.openxmlformats.org/spreadsheetml/2006/main" count="1076" uniqueCount="582">
  <si>
    <t xml:space="preserve">No.</t>
  </si>
  <si>
    <t xml:space="preserve">大分類</t>
  </si>
  <si>
    <t xml:space="preserve">小分類</t>
  </si>
  <si>
    <t xml:space="preserve">設問</t>
  </si>
  <si>
    <t xml:space="preserve">想定回答（キーワード）</t>
  </si>
  <si>
    <t xml:space="preserve">キーワード数</t>
  </si>
  <si>
    <t xml:space="preserve">必要解答数</t>
  </si>
  <si>
    <t xml:space="preserve">難易度</t>
  </si>
  <si>
    <t xml:space="preserve">備考</t>
  </si>
  <si>
    <t xml:space="preserve">術中維持の基本</t>
  </si>
  <si>
    <t xml:space="preserve">麻酔の要素</t>
  </si>
  <si>
    <r>
      <rPr>
        <sz val="11"/>
        <rFont val="Noto Sans CJK SC"/>
        <family val="2"/>
      </rPr>
      <t xml:space="preserve">全身麻酔の維持で満たすべき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要素は。</t>
    </r>
  </si>
  <si>
    <t xml:space="preserve">・鎮静（意識消失）
・鎮痛
・不動化（筋弛緩）
・（＋有害反射・自律神経反応の抑制）</t>
  </si>
  <si>
    <t xml:space="preserve">研修医</t>
  </si>
  <si>
    <t xml:space="preserve">モニタリング</t>
  </si>
  <si>
    <t xml:space="preserve">全身麻酔中の必須モニタを挙げよ。</t>
  </si>
  <si>
    <r>
      <rPr>
        <sz val="11"/>
        <rFont val="Noto Sans CJK SC"/>
        <family val="2"/>
      </rPr>
      <t xml:space="preserve">・心電図
・非観血的血圧
・</t>
    </r>
    <r>
      <rPr>
        <sz val="11"/>
        <rFont val="游ゴシック"/>
        <family val="0"/>
        <charset val="1"/>
      </rPr>
      <t xml:space="preserve">SpO2
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（カプノグラム）
・体温
・気道内圧・換気量
・吸入麻酔薬・酸素濃度</t>
    </r>
  </si>
  <si>
    <t xml:space="preserve">麻酔深度</t>
  </si>
  <si>
    <t xml:space="preserve">麻酔が浅いことを示唆する所見は。</t>
  </si>
  <si>
    <r>
      <rPr>
        <sz val="11"/>
        <rFont val="Noto Sans CJK SC"/>
        <family val="2"/>
      </rPr>
      <t xml:space="preserve">・血圧上昇
・頻脈
・体動・バッキング
・流涙・発汗
・瞳孔散大
・自発呼吸の出現
・</t>
    </r>
    <r>
      <rPr>
        <sz val="11"/>
        <rFont val="游ゴシック"/>
        <family val="0"/>
        <charset val="1"/>
      </rPr>
      <t xml:space="preserve">BIS</t>
    </r>
    <r>
      <rPr>
        <sz val="11"/>
        <rFont val="Noto Sans CJK SC"/>
        <family val="2"/>
      </rPr>
      <t xml:space="preserve">上昇</t>
    </r>
  </si>
  <si>
    <t xml:space="preserve">吸入麻酔薬</t>
  </si>
  <si>
    <r>
      <rPr>
        <sz val="11"/>
        <rFont val="游ゴシック"/>
        <family val="0"/>
        <charset val="1"/>
      </rPr>
      <t xml:space="preserve">MAC 1.0</t>
    </r>
    <r>
      <rPr>
        <sz val="11"/>
        <rFont val="Noto Sans CJK SC"/>
        <family val="2"/>
      </rPr>
      <t xml:space="preserve">とは何か。代表的な薬の値は。</t>
    </r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</si>
  <si>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50%</t>
    </r>
    <r>
      <rPr>
        <sz val="11"/>
        <rFont val="Noto Sans CJK SC"/>
        <family val="2"/>
      </rPr>
      <t xml:space="preserve">の患者が皮膚切開で体動しない呼気濃度
・セボフルラン 約</t>
    </r>
    <r>
      <rPr>
        <sz val="11"/>
        <rFont val="游ゴシック"/>
        <family val="0"/>
        <charset val="1"/>
      </rPr>
      <t xml:space="preserve">1.7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2.0%
</t>
    </r>
    <r>
      <rPr>
        <sz val="11"/>
        <rFont val="Noto Sans CJK SC"/>
        <family val="2"/>
      </rPr>
      <t xml:space="preserve">・デスフルラン 約</t>
    </r>
    <r>
      <rPr>
        <sz val="11"/>
        <rFont val="游ゴシック"/>
        <family val="0"/>
        <charset val="1"/>
      </rPr>
      <t xml:space="preserve">6%
</t>
    </r>
    <r>
      <rPr>
        <sz val="11"/>
        <rFont val="Noto Sans CJK SC"/>
        <family val="2"/>
      </rPr>
      <t xml:space="preserve">・亜酸化窒素 約</t>
    </r>
    <r>
      <rPr>
        <sz val="11"/>
        <rFont val="游ゴシック"/>
        <family val="0"/>
        <charset val="1"/>
      </rPr>
      <t xml:space="preserve">105%</t>
    </r>
  </si>
  <si>
    <r>
      <rPr>
        <sz val="11"/>
        <rFont val="游ゴシック"/>
        <family val="0"/>
        <charset val="1"/>
      </rPr>
      <t xml:space="preserve">MAC</t>
    </r>
    <r>
      <rPr>
        <sz val="11"/>
        <rFont val="Noto Sans CJK SC"/>
        <family val="2"/>
      </rPr>
      <t xml:space="preserve">を低下させる因子を挙げよ。</t>
    </r>
  </si>
  <si>
    <t xml:space="preserve">・高齢
・低体温
・オピオイド・ベンゾジアゼピン併用
・亜酸化窒素併用
・妊娠
・急性アルコール摂取
・重症貧血・低酸素・低血圧</t>
  </si>
  <si>
    <t xml:space="preserve">循環</t>
  </si>
  <si>
    <t xml:space="preserve">術中に血圧が低下した。初期対応と鑑別は。</t>
  </si>
  <si>
    <t xml:space="preserve">・麻酔を浅くする
・輸液負荷
・エフェドリン・フェニレフリン
・出血の確認
・体位変換・気腹・術者の圧迫
・アナフィラキシー
・緊張性気胸・塞栓
・不整脈・心筋虚血</t>
  </si>
  <si>
    <t xml:space="preserve">術中の頻脈の鑑別を挙げよ。</t>
  </si>
  <si>
    <r>
      <rPr>
        <sz val="11"/>
        <rFont val="Noto Sans CJK SC"/>
        <family val="2"/>
      </rPr>
      <t xml:space="preserve">・浅麻酔・疼痛
・循環血液量減少・出血
・低酸素・高</t>
    </r>
    <r>
      <rPr>
        <sz val="11"/>
        <rFont val="游ゴシック"/>
        <family val="0"/>
        <charset val="1"/>
      </rPr>
      <t xml:space="preserve">CO2
</t>
    </r>
    <r>
      <rPr>
        <sz val="11"/>
        <rFont val="Noto Sans CJK SC"/>
        <family val="2"/>
      </rPr>
      <t xml:space="preserve">・発熱・感染
・薬剤（アトロピン、エフェドリン、カテコラミン）
・甲状腺機能亢進
・悪性高熱</t>
    </r>
  </si>
  <si>
    <t xml:space="preserve">術中の徐脈の原因と対応は。</t>
  </si>
  <si>
    <r>
      <rPr>
        <sz val="11"/>
        <rFont val="Noto Sans CJK SC"/>
        <family val="2"/>
      </rPr>
      <t xml:space="preserve">・迷走神経反射（腹膜牽引・眼球圧迫・気腹）
・レミフェンタニル・デクスメデトミジン
・</t>
    </r>
    <r>
      <rPr>
        <sz val="11"/>
        <rFont val="游ゴシック"/>
        <family val="0"/>
        <charset val="1"/>
      </rPr>
      <t xml:space="preserve">β</t>
    </r>
    <r>
      <rPr>
        <sz val="11"/>
        <rFont val="Noto Sans CJK SC"/>
        <family val="2"/>
      </rPr>
      <t xml:space="preserve">遮断薬
・低酸素
・高位脊椎麻酔
・対応：刺激の中止、アトロピン</t>
    </r>
    <r>
      <rPr>
        <sz val="11"/>
        <rFont val="游ゴシック"/>
        <family val="0"/>
        <charset val="1"/>
      </rPr>
      <t xml:space="preserve">0.5mg</t>
    </r>
    <r>
      <rPr>
        <sz val="11"/>
        <rFont val="Noto Sans CJK SC"/>
        <family val="2"/>
      </rPr>
      <t xml:space="preserve">、酸素化確認</t>
    </r>
  </si>
  <si>
    <t xml:space="preserve">換気</t>
  </si>
  <si>
    <r>
      <rPr>
        <sz val="11"/>
        <rFont val="Noto Sans CJK SC"/>
        <family val="2"/>
      </rPr>
      <t xml:space="preserve">術中に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が上昇した。対応は。</t>
    </r>
  </si>
  <si>
    <t xml:space="preserve">・分時換気量を増やす
・無気肺ならリクルートメント
・チューブ・回路の異常確認
・ソーダライム消耗の確認
・気腹・止血帯解除の確認
・発熱・悪性高熱の除外</t>
  </si>
  <si>
    <r>
      <rPr>
        <sz val="11"/>
        <rFont val="Noto Sans CJK SC"/>
        <family val="2"/>
      </rPr>
      <t xml:space="preserve">術中に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が急に低下した。鑑別は。</t>
    </r>
  </si>
  <si>
    <t xml:space="preserve">・心停止・心拍出量低下
・肺塞栓・空気塞栓
・回路外れ・チューブ抜去
・気道閉塞・屈曲
・サンプリングラインの異常
・過換気</t>
  </si>
  <si>
    <t xml:space="preserve">輸液</t>
  </si>
  <si>
    <t xml:space="preserve">術中輸液の基本的な考え方は。</t>
  </si>
  <si>
    <r>
      <rPr>
        <sz val="11"/>
        <rFont val="Noto Sans CJK SC"/>
        <family val="2"/>
      </rPr>
      <t xml:space="preserve">・維持量 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2mL/kg/h
</t>
    </r>
    <r>
      <rPr>
        <sz val="11"/>
        <rFont val="Noto Sans CJK SC"/>
        <family val="2"/>
      </rPr>
      <t xml:space="preserve">・出血量・不感蒸泄の補充
・目標指向（</t>
    </r>
    <r>
      <rPr>
        <sz val="11"/>
        <rFont val="游ゴシック"/>
        <family val="0"/>
        <charset val="1"/>
      </rPr>
      <t xml:space="preserve">SVV/PPV</t>
    </r>
    <r>
      <rPr>
        <sz val="11"/>
        <rFont val="Noto Sans CJK SC"/>
        <family val="2"/>
      </rPr>
      <t xml:space="preserve">、乳酸値、尿量</t>
    </r>
    <r>
      <rPr>
        <sz val="11"/>
        <rFont val="游ゴシック"/>
        <family val="0"/>
        <charset val="1"/>
      </rPr>
      <t xml:space="preserve">0.5mL/kg/h</t>
    </r>
    <r>
      <rPr>
        <sz val="11"/>
        <rFont val="Noto Sans CJK SC"/>
        <family val="2"/>
      </rPr>
      <t xml:space="preserve">）
・晶質液が基本、大量なら膠質液・輸血
・過剰輸液は浮腫・合併症</t>
    </r>
  </si>
  <si>
    <t xml:space="preserve">術中の尿量が少ないときに考えることは。</t>
  </si>
  <si>
    <t xml:space="preserve">・循環血液量不足
・心拍出量低下
・尿道カテーテルの閉塞・屈曲
・腹腔内圧上昇・気腹
・手術操作（尿管）
・利尿薬の前にまず前負荷を評価</t>
  </si>
  <si>
    <t xml:space="preserve">体温</t>
  </si>
  <si>
    <t xml:space="preserve">術中低体温を防ぐ方法は。</t>
  </si>
  <si>
    <r>
      <rPr>
        <sz val="11"/>
        <rFont val="Noto Sans CJK SC"/>
        <family val="2"/>
      </rPr>
      <t xml:space="preserve">・温風式加温装置
・輸液・輸血の加温
・室温を上げる
・術前からの加温（</t>
    </r>
    <r>
      <rPr>
        <sz val="11"/>
        <rFont val="游ゴシック"/>
        <family val="0"/>
        <charset val="1"/>
      </rPr>
      <t xml:space="preserve">prewarming</t>
    </r>
    <r>
      <rPr>
        <sz val="11"/>
        <rFont val="Noto Sans CJK SC"/>
        <family val="2"/>
      </rPr>
      <t xml:space="preserve">）
・露出部位の被覆</t>
    </r>
  </si>
  <si>
    <t xml:space="preserve">術中低体温による弊害は。</t>
  </si>
  <si>
    <t xml:space="preserve">・覚醒遅延・薬効遷延
・シバリングと酸素消費増加
・凝固障害・出血量増加
・手術部位感染の増加
・心血管イベント増加</t>
  </si>
  <si>
    <t xml:space="preserve">出血</t>
  </si>
  <si>
    <t xml:space="preserve">大量出血時の輸血の目安は。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</si>
  <si>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Hb 7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8g/dL
</t>
    </r>
    <r>
      <rPr>
        <sz val="11"/>
        <rFont val="Noto Sans CJK SC"/>
        <family val="2"/>
      </rPr>
      <t xml:space="preserve">・血小板 </t>
    </r>
    <r>
      <rPr>
        <sz val="11"/>
        <rFont val="游ゴシック"/>
        <family val="0"/>
        <charset val="1"/>
      </rPr>
      <t xml:space="preserve">5</t>
    </r>
    <r>
      <rPr>
        <sz val="11"/>
        <rFont val="Noto Sans CJK SC"/>
        <family val="2"/>
      </rPr>
      <t xml:space="preserve">万</t>
    </r>
    <r>
      <rPr>
        <sz val="11"/>
        <rFont val="游ゴシック"/>
        <family val="0"/>
        <charset val="1"/>
      </rPr>
      <t xml:space="preserve">/μL
</t>
    </r>
    <r>
      <rPr>
        <sz val="11"/>
        <rFont val="Noto Sans CJK SC"/>
        <family val="2"/>
      </rPr>
      <t xml:space="preserve">・フィブリノゲン </t>
    </r>
    <r>
      <rPr>
        <sz val="11"/>
        <rFont val="游ゴシック"/>
        <family val="0"/>
        <charset val="1"/>
      </rPr>
      <t xml:space="preserve">150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200mg/dL
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PT-INR 1.5</t>
    </r>
    <r>
      <rPr>
        <sz val="11"/>
        <rFont val="Noto Sans CJK SC"/>
        <family val="2"/>
      </rPr>
      <t xml:space="preserve">以上で</t>
    </r>
    <r>
      <rPr>
        <sz val="11"/>
        <rFont val="游ゴシック"/>
        <family val="0"/>
        <charset val="1"/>
      </rPr>
      <t xml:space="preserve">FFP
</t>
    </r>
    <r>
      <rPr>
        <sz val="11"/>
        <rFont val="Noto Sans CJK SC"/>
        <family val="2"/>
      </rPr>
      <t xml:space="preserve">・大量出血では</t>
    </r>
    <r>
      <rPr>
        <sz val="11"/>
        <rFont val="游ゴシック"/>
        <family val="0"/>
        <charset val="1"/>
      </rPr>
      <t xml:space="preserve">1:1:1</t>
    </r>
    <r>
      <rPr>
        <sz val="11"/>
        <rFont val="Noto Sans CJK SC"/>
        <family val="2"/>
      </rPr>
      <t xml:space="preserve">の比率輸血
・カルシウム補充</t>
    </r>
  </si>
  <si>
    <t xml:space="preserve">気道</t>
  </si>
  <si>
    <t xml:space="preserve">気管挿管の直後に確認することは。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</si>
  <si>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波形の連続的な検出
・両側胸郭の挙上
・両肺の聴診
・</t>
    </r>
    <r>
      <rPr>
        <sz val="11"/>
        <rFont val="游ゴシック"/>
        <family val="0"/>
        <charset val="1"/>
      </rPr>
      <t xml:space="preserve">SpO2
</t>
    </r>
    <r>
      <rPr>
        <sz val="11"/>
        <rFont val="Noto Sans CJK SC"/>
        <family val="2"/>
      </rPr>
      <t xml:space="preserve">・チューブ深さ（成人</t>
    </r>
    <r>
      <rPr>
        <sz val="11"/>
        <rFont val="游ゴシック"/>
        <family val="0"/>
        <charset val="1"/>
      </rPr>
      <t xml:space="preserve">21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23cm</t>
    </r>
    <r>
      <rPr>
        <sz val="11"/>
        <rFont val="Noto Sans CJK SC"/>
        <family val="2"/>
      </rPr>
      <t xml:space="preserve">）
・カフ圧
・確実な固定</t>
    </r>
  </si>
  <si>
    <t xml:space="preserve">体位</t>
  </si>
  <si>
    <t xml:space="preserve">体位変換の直後に確認することは。</t>
  </si>
  <si>
    <r>
      <rPr>
        <sz val="11"/>
        <rFont val="Noto Sans CJK SC"/>
        <family val="2"/>
      </rPr>
      <t xml:space="preserve">・気管チューブの位置（片肺挿管）
・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・気道内圧
・血圧・循環
・ライン・モニタの接続
・末梢神経の圧迫（腋窩・尺骨・腓骨）
・眼球圧迫の有無</t>
    </r>
  </si>
  <si>
    <t xml:space="preserve">覚醒</t>
  </si>
  <si>
    <t xml:space="preserve">覚醒遅延の鑑別を挙げよ。</t>
  </si>
  <si>
    <r>
      <rPr>
        <sz val="11"/>
        <rFont val="Noto Sans CJK SC"/>
        <family val="2"/>
      </rPr>
      <t xml:space="preserve">・麻酔薬・オピオイド残存
・筋弛緩薬の残存
・低体温
・低血糖・電解質異常（低</t>
    </r>
    <r>
      <rPr>
        <sz val="11"/>
        <rFont val="游ゴシック"/>
        <family val="0"/>
        <charset val="1"/>
      </rPr>
      <t xml:space="preserve">Na</t>
    </r>
    <r>
      <rPr>
        <sz val="11"/>
        <rFont val="Noto Sans CJK SC"/>
        <family val="2"/>
      </rPr>
      <t xml:space="preserve">）
・高</t>
    </r>
    <r>
      <rPr>
        <sz val="11"/>
        <rFont val="游ゴシック"/>
        <family val="0"/>
        <charset val="1"/>
      </rPr>
      <t xml:space="preserve">CO2</t>
    </r>
    <r>
      <rPr>
        <sz val="11"/>
        <rFont val="Noto Sans CJK SC"/>
        <family val="2"/>
      </rPr>
      <t xml:space="preserve">血症
・脳血管障害
・肝・腎機能障害</t>
    </r>
  </si>
  <si>
    <t xml:space="preserve">抜管</t>
  </si>
  <si>
    <t xml:space="preserve">抜管の基準を挙げよ。</t>
  </si>
  <si>
    <r>
      <rPr>
        <sz val="11"/>
        <rFont val="Noto Sans CJK SC"/>
        <family val="2"/>
      </rPr>
      <t xml:space="preserve">・十分な自発呼吸・一回換気量
・</t>
    </r>
    <r>
      <rPr>
        <sz val="11"/>
        <rFont val="游ゴシック"/>
        <family val="0"/>
        <charset val="1"/>
      </rPr>
      <t xml:space="preserve">TOF</t>
    </r>
    <r>
      <rPr>
        <sz val="11"/>
        <rFont val="Noto Sans CJK SC"/>
        <family val="2"/>
      </rPr>
      <t xml:space="preserve">比</t>
    </r>
    <r>
      <rPr>
        <sz val="11"/>
        <rFont val="游ゴシック"/>
        <family val="0"/>
        <charset val="1"/>
      </rPr>
      <t xml:space="preserve">0.9</t>
    </r>
    <r>
      <rPr>
        <sz val="11"/>
        <rFont val="Noto Sans CJK SC"/>
        <family val="2"/>
      </rPr>
      <t xml:space="preserve">以上
・指示に従える
・気道反射の回復
・酸素化良好
・循環安定
・低体温でない</t>
    </r>
  </si>
  <si>
    <t xml:space="preserve">合併症</t>
  </si>
  <si>
    <t xml:space="preserve">術中覚醒のリスク因子と予防は。</t>
  </si>
  <si>
    <r>
      <rPr>
        <sz val="11"/>
        <rFont val="Noto Sans CJK SC"/>
        <family val="2"/>
      </rPr>
      <t xml:space="preserve">・帝王切開・心臓外科・外傷
・</t>
    </r>
    <r>
      <rPr>
        <sz val="11"/>
        <rFont val="游ゴシック"/>
        <family val="0"/>
        <charset val="1"/>
      </rPr>
      <t xml:space="preserve">TIVA</t>
    </r>
    <r>
      <rPr>
        <sz val="11"/>
        <rFont val="Noto Sans CJK SC"/>
        <family val="2"/>
      </rPr>
      <t xml:space="preserve">＋筋弛緩薬
・浅い麻酔（循環不安定例）
・予防：麻酔薬濃度モニタ、</t>
    </r>
    <r>
      <rPr>
        <sz val="11"/>
        <rFont val="游ゴシック"/>
        <family val="0"/>
        <charset val="1"/>
      </rPr>
      <t xml:space="preserve">BIS</t>
    </r>
    <r>
      <rPr>
        <sz val="11"/>
        <rFont val="Noto Sans CJK SC"/>
        <family val="2"/>
      </rPr>
      <t xml:space="preserve">、ベンゾジアゼピン併用、投与ルートの確認</t>
    </r>
  </si>
  <si>
    <t xml:space="preserve">術中のアナフィラキシーを疑ったときの対応は。</t>
  </si>
  <si>
    <r>
      <rPr>
        <sz val="11"/>
        <rFont val="Noto Sans CJK SC"/>
        <family val="2"/>
      </rPr>
      <t xml:space="preserve">・被疑薬の中止
・アドレナリン投与
・急速輸液
・</t>
    </r>
    <r>
      <rPr>
        <sz val="11"/>
        <rFont val="游ゴシック"/>
        <family val="0"/>
        <charset val="1"/>
      </rPr>
      <t xml:space="preserve">100%</t>
    </r>
    <r>
      <rPr>
        <sz val="11"/>
        <rFont val="Noto Sans CJK SC"/>
        <family val="2"/>
      </rPr>
      <t xml:space="preserve">酸素・気道確保
・術者へ連絡・手術の中断検討
・トリプターゼ採血
・被疑薬：筋弛緩薬、抗菌薬、ラテックス、造影剤</t>
    </r>
  </si>
  <si>
    <t xml:space="preserve">術中の代謝性アシドーシスの原因は。</t>
  </si>
  <si>
    <r>
      <rPr>
        <sz val="11"/>
        <rFont val="Noto Sans CJK SC"/>
        <family val="2"/>
      </rPr>
      <t xml:space="preserve">・組織低灌流・乳酸アシドーシス
・出血・ショック
・敗血症
・腎不全
・糖尿病性ケトアシドーシス
・大量の生理食塩水（高</t>
    </r>
    <r>
      <rPr>
        <sz val="11"/>
        <rFont val="游ゴシック"/>
        <family val="0"/>
        <charset val="1"/>
      </rPr>
      <t xml:space="preserve">Cl</t>
    </r>
    <r>
      <rPr>
        <sz val="11"/>
        <rFont val="Noto Sans CJK SC"/>
        <family val="2"/>
      </rPr>
      <t xml:space="preserve">性）</t>
    </r>
  </si>
  <si>
    <t xml:space="preserve">薬剤</t>
  </si>
  <si>
    <t xml:space="preserve">静脈麻酔薬</t>
  </si>
  <si>
    <t xml:space="preserve">プロポフォールの導入量・維持量は。</t>
  </si>
  <si>
    <r>
      <rPr>
        <sz val="11"/>
        <rFont val="Noto Sans CJK SC"/>
        <family val="2"/>
      </rPr>
      <t xml:space="preserve">・導入 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2mg/kg</t>
    </r>
    <r>
      <rPr>
        <sz val="11"/>
        <rFont val="Noto Sans CJK SC"/>
        <family val="2"/>
      </rPr>
      <t xml:space="preserve">（高齢・循環不安定は減量）
・維持 </t>
    </r>
    <r>
      <rPr>
        <sz val="11"/>
        <rFont val="游ゴシック"/>
        <family val="0"/>
        <charset val="1"/>
      </rPr>
      <t xml:space="preserve">4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10mg/kg/h
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TCI </t>
    </r>
    <r>
      <rPr>
        <sz val="11"/>
        <rFont val="Noto Sans CJK SC"/>
        <family val="2"/>
      </rPr>
      <t xml:space="preserve">目標</t>
    </r>
    <r>
      <rPr>
        <sz val="11"/>
        <rFont val="游ゴシック"/>
        <family val="0"/>
        <charset val="1"/>
      </rPr>
      <t xml:space="preserve">2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4μg/mL</t>
    </r>
  </si>
  <si>
    <t xml:space="preserve">プロポフォールの注入時痛の対策は。</t>
  </si>
  <si>
    <t xml:space="preserve">・リドカインの前投与・混注
・太い静脈を選ぶ
・側管から急速輸液
・オピオイドの先行投与</t>
  </si>
  <si>
    <t xml:space="preserve">プロポフォールの主な副作用は。</t>
  </si>
  <si>
    <r>
      <rPr>
        <sz val="11"/>
        <rFont val="Noto Sans CJK SC"/>
        <family val="2"/>
      </rPr>
      <t xml:space="preserve">・血圧低下
・呼吸抑制・無呼吸
・注入時痛
・徐脈
・長時間大量投与で</t>
    </r>
    <r>
      <rPr>
        <sz val="11"/>
        <rFont val="游ゴシック"/>
        <family val="0"/>
        <charset val="1"/>
      </rPr>
      <t xml:space="preserve">propofol infusion syndrome</t>
    </r>
  </si>
  <si>
    <t xml:space="preserve">ケタミンの用量と特徴は。</t>
  </si>
  <si>
    <r>
      <rPr>
        <sz val="11"/>
        <rFont val="Noto Sans CJK SC"/>
        <family val="2"/>
      </rPr>
      <t xml:space="preserve">・麻酔導入 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2mg/kg</t>
    </r>
    <r>
      <rPr>
        <sz val="11"/>
        <rFont val="Noto Sans CJK SC"/>
        <family val="2"/>
      </rPr>
      <t xml:space="preserve">静注
・鎮痛量 </t>
    </r>
    <r>
      <rPr>
        <sz val="11"/>
        <rFont val="游ゴシック"/>
        <family val="0"/>
        <charset val="1"/>
      </rPr>
      <t xml:space="preserve">0.25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0.5mg/kg
</t>
    </r>
    <r>
      <rPr>
        <sz val="11"/>
        <rFont val="Noto Sans CJK SC"/>
        <family val="2"/>
      </rPr>
      <t xml:space="preserve">・循環は維持〜上昇
・気管支拡張作用
・分泌物増加
・悪夢・せん妄
・脳圧・眼圧上昇に注意</t>
    </r>
  </si>
  <si>
    <t xml:space="preserve">ミダゾラムの用量と注意点は。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</si>
  <si>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0.05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0.1mg/kg</t>
    </r>
    <r>
      <rPr>
        <sz val="11"/>
        <rFont val="Noto Sans CJK SC"/>
        <family val="2"/>
      </rPr>
      <t xml:space="preserve">静注
・健忘作用
・高齢者では遷延・術後せん妄
・拮抗薬はフルマゼニル </t>
    </r>
    <r>
      <rPr>
        <sz val="11"/>
        <rFont val="游ゴシック"/>
        <family val="0"/>
        <charset val="1"/>
      </rPr>
      <t xml:space="preserve">0.2mg</t>
    </r>
  </si>
  <si>
    <t xml:space="preserve">鎮静薬</t>
  </si>
  <si>
    <t xml:space="preserve">デクスメデトミジンの用量と特徴は。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</si>
  <si>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0.2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0.7μg/kg/h</t>
    </r>
    <r>
      <rPr>
        <sz val="11"/>
        <rFont val="Noto Sans CJK SC"/>
        <family val="2"/>
      </rPr>
      <t xml:space="preserve">持続
・呼吸抑制が少ない
・徐脈・低血圧
・初期負荷で一過性高血圧
・術後せん妄の減少</t>
    </r>
  </si>
  <si>
    <t xml:space="preserve">筋弛緩薬</t>
  </si>
  <si>
    <t xml:space="preserve">ロクロニウムの挿管量・維持量・作用時間は。</t>
  </si>
  <si>
    <r>
      <rPr>
        <sz val="11"/>
        <rFont val="Noto Sans CJK SC"/>
        <family val="2"/>
      </rPr>
      <t xml:space="preserve">・挿管 </t>
    </r>
    <r>
      <rPr>
        <sz val="11"/>
        <rFont val="游ゴシック"/>
        <family val="0"/>
        <charset val="1"/>
      </rPr>
      <t xml:space="preserve">0.6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0.9mg/kg
</t>
    </r>
    <r>
      <rPr>
        <sz val="11"/>
        <rFont val="Noto Sans CJK SC"/>
        <family val="2"/>
      </rPr>
      <t xml:space="preserve">・追加 </t>
    </r>
    <r>
      <rPr>
        <sz val="11"/>
        <rFont val="游ゴシック"/>
        <family val="0"/>
        <charset val="1"/>
      </rPr>
      <t xml:space="preserve">0.1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0.2mg/kg
</t>
    </r>
    <r>
      <rPr>
        <sz val="11"/>
        <rFont val="Noto Sans CJK SC"/>
        <family val="2"/>
      </rPr>
      <t xml:space="preserve">・作用時間 </t>
    </r>
    <r>
      <rPr>
        <sz val="11"/>
        <rFont val="游ゴシック"/>
        <family val="0"/>
        <charset val="1"/>
      </rPr>
      <t xml:space="preserve">30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40</t>
    </r>
    <r>
      <rPr>
        <sz val="11"/>
        <rFont val="Noto Sans CJK SC"/>
        <family val="2"/>
      </rPr>
      <t xml:space="preserve">分
・迅速導入では</t>
    </r>
    <r>
      <rPr>
        <sz val="11"/>
        <rFont val="游ゴシック"/>
        <family val="0"/>
        <charset val="1"/>
      </rPr>
      <t xml:space="preserve">1.0mg/kg</t>
    </r>
  </si>
  <si>
    <t xml:space="preserve">スガマデクスの用量は。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</si>
  <si>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TOF</t>
    </r>
    <r>
      <rPr>
        <sz val="11"/>
        <rFont val="Noto Sans CJK SC"/>
        <family val="2"/>
      </rPr>
      <t xml:space="preserve">カウント</t>
    </r>
    <r>
      <rPr>
        <sz val="11"/>
        <rFont val="游ゴシック"/>
        <family val="0"/>
        <charset val="1"/>
      </rPr>
      <t xml:space="preserve">2</t>
    </r>
    <r>
      <rPr>
        <sz val="11"/>
        <rFont val="Noto Sans CJK SC"/>
        <family val="2"/>
      </rPr>
      <t xml:space="preserve">以上：</t>
    </r>
    <r>
      <rPr>
        <sz val="11"/>
        <rFont val="游ゴシック"/>
        <family val="0"/>
        <charset val="1"/>
      </rPr>
      <t xml:space="preserve">2mg/kg
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PTC 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</t>
    </r>
    <r>
      <rPr>
        <sz val="11"/>
        <rFont val="Noto Sans CJK SC"/>
        <family val="2"/>
      </rPr>
      <t xml:space="preserve">（深い遮断）：</t>
    </r>
    <r>
      <rPr>
        <sz val="11"/>
        <rFont val="游ゴシック"/>
        <family val="0"/>
        <charset val="1"/>
      </rPr>
      <t xml:space="preserve">4mg/kg
</t>
    </r>
    <r>
      <rPr>
        <sz val="11"/>
        <rFont val="Noto Sans CJK SC"/>
        <family val="2"/>
      </rPr>
      <t xml:space="preserve">・挿管量投与直後：</t>
    </r>
    <r>
      <rPr>
        <sz val="11"/>
        <rFont val="游ゴシック"/>
        <family val="0"/>
        <charset val="1"/>
      </rPr>
      <t xml:space="preserve">16mg/kg</t>
    </r>
  </si>
  <si>
    <t xml:space="preserve">ネオスチグミンの用量と注意点は。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</si>
  <si>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0.02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0.05mg/kg</t>
    </r>
    <r>
      <rPr>
        <sz val="11"/>
        <rFont val="Noto Sans CJK SC"/>
        <family val="2"/>
      </rPr>
      <t xml:space="preserve">（成人で最大</t>
    </r>
    <r>
      <rPr>
        <sz val="11"/>
        <rFont val="游ゴシック"/>
        <family val="0"/>
        <charset val="1"/>
      </rPr>
      <t xml:space="preserve">2.5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5mg</t>
    </r>
    <r>
      <rPr>
        <sz val="11"/>
        <rFont val="Noto Sans CJK SC"/>
        <family val="2"/>
      </rPr>
      <t xml:space="preserve">程度）
・アトロピン</t>
    </r>
    <r>
      <rPr>
        <sz val="11"/>
        <rFont val="游ゴシック"/>
        <family val="0"/>
        <charset val="1"/>
      </rPr>
      <t xml:space="preserve">0.01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0.02mg/kg</t>
    </r>
    <r>
      <rPr>
        <sz val="11"/>
        <rFont val="Noto Sans CJK SC"/>
        <family val="2"/>
      </rPr>
      <t xml:space="preserve">を併用
・深い遮断には無効
・徐脈・分泌増加・気管支収縮</t>
    </r>
  </si>
  <si>
    <t xml:space="preserve">スキサメトニウムの用量と禁忌は。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</si>
  <si>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1mg/kg</t>
    </r>
    <r>
      <rPr>
        <sz val="11"/>
        <rFont val="Noto Sans CJK SC"/>
        <family val="2"/>
      </rPr>
      <t xml:space="preserve">静注
・禁忌：高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血症、熱傷（受傷後）、広範な脱神経・不動、筋疾患、悪性高熱素因
・副作用：筋線維束攣縮、徐脈、眼圧・胃内圧上昇</t>
    </r>
  </si>
  <si>
    <r>
      <rPr>
        <sz val="11"/>
        <rFont val="Noto Sans CJK SC"/>
        <family val="2"/>
      </rPr>
      <t xml:space="preserve">筋弛緩モニタ（</t>
    </r>
    <r>
      <rPr>
        <sz val="11"/>
        <rFont val="游ゴシック"/>
        <family val="0"/>
        <charset val="1"/>
      </rPr>
      <t xml:space="preserve">TOF</t>
    </r>
    <r>
      <rPr>
        <sz val="11"/>
        <rFont val="Noto Sans CJK SC"/>
        <family val="2"/>
      </rPr>
      <t xml:space="preserve">）の使い方は。</t>
    </r>
  </si>
  <si>
    <r>
      <rPr>
        <sz val="11"/>
        <rFont val="Noto Sans CJK SC"/>
        <family val="2"/>
      </rPr>
      <t xml:space="preserve">・尺骨神経刺激・母指内転筋
・挿管は</t>
    </r>
    <r>
      <rPr>
        <sz val="11"/>
        <rFont val="游ゴシック"/>
        <family val="0"/>
        <charset val="1"/>
      </rPr>
      <t xml:space="preserve">TOF</t>
    </r>
    <r>
      <rPr>
        <sz val="11"/>
        <rFont val="Noto Sans CJK SC"/>
        <family val="2"/>
      </rPr>
      <t xml:space="preserve">カウント</t>
    </r>
    <r>
      <rPr>
        <sz val="11"/>
        <rFont val="游ゴシック"/>
        <family val="0"/>
        <charset val="1"/>
      </rPr>
      <t xml:space="preserve">0</t>
    </r>
    <r>
      <rPr>
        <sz val="11"/>
        <rFont val="Noto Sans CJK SC"/>
        <family val="2"/>
      </rPr>
      <t xml:space="preserve">を目安
・深い遮断は</t>
    </r>
    <r>
      <rPr>
        <sz val="11"/>
        <rFont val="游ゴシック"/>
        <family val="0"/>
        <charset val="1"/>
      </rPr>
      <t xml:space="preserve">PTC</t>
    </r>
    <r>
      <rPr>
        <sz val="11"/>
        <rFont val="Noto Sans CJK SC"/>
        <family val="2"/>
      </rPr>
      <t xml:space="preserve">で評価
・抜管は</t>
    </r>
    <r>
      <rPr>
        <sz val="11"/>
        <rFont val="游ゴシック"/>
        <family val="0"/>
        <charset val="1"/>
      </rPr>
      <t xml:space="preserve">TOF</t>
    </r>
    <r>
      <rPr>
        <sz val="11"/>
        <rFont val="Noto Sans CJK SC"/>
        <family val="2"/>
      </rPr>
      <t xml:space="preserve">比</t>
    </r>
    <r>
      <rPr>
        <sz val="11"/>
        <rFont val="游ゴシック"/>
        <family val="0"/>
        <charset val="1"/>
      </rPr>
      <t xml:space="preserve">0.9</t>
    </r>
    <r>
      <rPr>
        <sz val="11"/>
        <rFont val="Noto Sans CJK SC"/>
        <family val="2"/>
      </rPr>
      <t xml:space="preserve">以上
・顔面神経は過小評価しやすい</t>
    </r>
  </si>
  <si>
    <t xml:space="preserve">オピオイド</t>
  </si>
  <si>
    <t xml:space="preserve">フェンタニルの導入量と特徴は。</t>
  </si>
  <si>
    <r>
      <rPr>
        <sz val="11"/>
        <rFont val="Noto Sans CJK SC"/>
        <family val="2"/>
      </rPr>
      <t xml:space="preserve">・導入 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3μg/kg
</t>
    </r>
    <r>
      <rPr>
        <sz val="11"/>
        <rFont val="Noto Sans CJK SC"/>
        <family val="2"/>
      </rPr>
      <t xml:space="preserve">・術中追加 </t>
    </r>
    <r>
      <rPr>
        <sz val="11"/>
        <rFont val="游ゴシック"/>
        <family val="0"/>
        <charset val="1"/>
      </rPr>
      <t xml:space="preserve">50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100μg
</t>
    </r>
    <r>
      <rPr>
        <sz val="11"/>
        <rFont val="Noto Sans CJK SC"/>
        <family val="2"/>
      </rPr>
      <t xml:space="preserve">・効果発現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5</t>
    </r>
    <r>
      <rPr>
        <sz val="11"/>
        <rFont val="Noto Sans CJK SC"/>
        <family val="2"/>
      </rPr>
      <t xml:space="preserve">分、作用時間</t>
    </r>
    <r>
      <rPr>
        <sz val="11"/>
        <rFont val="游ゴシック"/>
        <family val="0"/>
        <charset val="1"/>
      </rPr>
      <t xml:space="preserve">30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60</t>
    </r>
    <r>
      <rPr>
        <sz val="11"/>
        <rFont val="Noto Sans CJK SC"/>
        <family val="2"/>
      </rPr>
      <t xml:space="preserve">分
・反復投与で蓄積
・呼吸抑制・徐脈・筋硬直・悪心</t>
    </r>
  </si>
  <si>
    <t xml:space="preserve">レミフェンタニルの投与量と注意点は。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</si>
  <si>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0.1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0.5μg/kg/min</t>
    </r>
    <r>
      <rPr>
        <sz val="11"/>
        <rFont val="Noto Sans CJK SC"/>
        <family val="2"/>
      </rPr>
      <t xml:space="preserve">持続
・エステラーゼで分解、超短時間作用
・蓄積しない（</t>
    </r>
    <r>
      <rPr>
        <sz val="11"/>
        <rFont val="游ゴシック"/>
        <family val="0"/>
        <charset val="1"/>
      </rPr>
      <t xml:space="preserve">context-sensitive half-time</t>
    </r>
    <r>
      <rPr>
        <sz val="11"/>
        <rFont val="Noto Sans CJK SC"/>
        <family val="2"/>
      </rPr>
      <t xml:space="preserve">が一定）
・徐脈・血圧低下・筋硬直
・術後鎮痛を必ず先行して準備
・痛覚過敏</t>
    </r>
  </si>
  <si>
    <t xml:space="preserve">術後鎮痛に用いるオピオイドと投与量の例は。</t>
  </si>
  <si>
    <r>
      <rPr>
        <sz val="11"/>
        <rFont val="Noto Sans CJK SC"/>
        <family val="2"/>
      </rPr>
      <t xml:space="preserve">・フェンタニル </t>
    </r>
    <r>
      <rPr>
        <sz val="11"/>
        <rFont val="游ゴシック"/>
        <family val="0"/>
        <charset val="1"/>
      </rPr>
      <t xml:space="preserve">IV-PCA
</t>
    </r>
    <r>
      <rPr>
        <sz val="11"/>
        <rFont val="Noto Sans CJK SC"/>
        <family val="2"/>
      </rPr>
      <t xml:space="preserve">・モルヒネ </t>
    </r>
    <r>
      <rPr>
        <sz val="11"/>
        <rFont val="游ゴシック"/>
        <family val="0"/>
        <charset val="1"/>
      </rPr>
      <t xml:space="preserve">2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5mg</t>
    </r>
    <r>
      <rPr>
        <sz val="11"/>
        <rFont val="Noto Sans CJK SC"/>
        <family val="2"/>
      </rPr>
      <t xml:space="preserve">静注（腎障害で蓄積）
・ペンタゾシン</t>
    </r>
    <r>
      <rPr>
        <sz val="11"/>
        <rFont val="游ゴシック"/>
        <family val="0"/>
        <charset val="1"/>
      </rPr>
      <t xml:space="preserve">15mg
</t>
    </r>
    <r>
      <rPr>
        <sz val="11"/>
        <rFont val="Noto Sans CJK SC"/>
        <family val="2"/>
      </rPr>
      <t xml:space="preserve">・呼吸抑制・悪心・尿閉に注意</t>
    </r>
  </si>
  <si>
    <t xml:space="preserve">昇圧薬</t>
  </si>
  <si>
    <r>
      <rPr>
        <sz val="11"/>
        <rFont val="Noto Sans CJK SC"/>
        <family val="2"/>
      </rPr>
      <t xml:space="preserve">エフェドリンは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回何</t>
    </r>
    <r>
      <rPr>
        <sz val="11"/>
        <rFont val="游ゴシック"/>
        <family val="0"/>
        <charset val="1"/>
      </rPr>
      <t xml:space="preserve">mg</t>
    </r>
    <r>
      <rPr>
        <sz val="11"/>
        <rFont val="Noto Sans CJK SC"/>
        <family val="2"/>
      </rPr>
      <t xml:space="preserve">くらい使うか。特徴は。</t>
    </r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</si>
  <si>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回 </t>
    </r>
    <r>
      <rPr>
        <sz val="11"/>
        <rFont val="游ゴシック"/>
        <family val="0"/>
        <charset val="1"/>
      </rPr>
      <t xml:space="preserve">4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8mg</t>
    </r>
    <r>
      <rPr>
        <sz val="11"/>
        <rFont val="Noto Sans CJK SC"/>
        <family val="2"/>
      </rPr>
      <t xml:space="preserve">静注
・間接作用（内因性カテコラミン遊離）
・</t>
    </r>
    <r>
      <rPr>
        <sz val="11"/>
        <rFont val="游ゴシック"/>
        <family val="0"/>
        <charset val="1"/>
      </rPr>
      <t xml:space="preserve">α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β</t>
    </r>
    <r>
      <rPr>
        <sz val="11"/>
        <rFont val="Noto Sans CJK SC"/>
        <family val="2"/>
      </rPr>
      <t xml:space="preserve">作用で心拍数も上がる
・反復でタキフィラキシー</t>
    </r>
  </si>
  <si>
    <r>
      <rPr>
        <sz val="11"/>
        <rFont val="Noto Sans CJK SC"/>
        <family val="2"/>
      </rPr>
      <t xml:space="preserve">フェニレフリンの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回量と特徴は。</t>
    </r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</si>
  <si>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回 </t>
    </r>
    <r>
      <rPr>
        <sz val="11"/>
        <rFont val="游ゴシック"/>
        <family val="0"/>
        <charset val="1"/>
      </rPr>
      <t xml:space="preserve">0.05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0.1mg</t>
    </r>
    <r>
      <rPr>
        <sz val="11"/>
        <rFont val="Noto Sans CJK SC"/>
        <family val="2"/>
      </rPr>
      <t xml:space="preserve">（</t>
    </r>
    <r>
      <rPr>
        <sz val="11"/>
        <rFont val="游ゴシック"/>
        <family val="0"/>
        <charset val="1"/>
      </rPr>
      <t xml:space="preserve">50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100μg</t>
    </r>
    <r>
      <rPr>
        <sz val="11"/>
        <rFont val="Noto Sans CJK SC"/>
        <family val="2"/>
      </rPr>
      <t xml:space="preserve">）静注
・純</t>
    </r>
    <r>
      <rPr>
        <sz val="11"/>
        <rFont val="游ゴシック"/>
        <family val="0"/>
        <charset val="1"/>
      </rPr>
      <t xml:space="preserve">α1</t>
    </r>
    <r>
      <rPr>
        <sz val="11"/>
        <rFont val="Noto Sans CJK SC"/>
        <family val="2"/>
      </rPr>
      <t xml:space="preserve">作用
・反射性徐脈
・心拍出量は増えない
・脊椎麻酔・大動脈弁狭窄症で有用</t>
    </r>
  </si>
  <si>
    <t xml:space="preserve">ノルアドレナリンの投与量と注意点は。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</si>
  <si>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0.02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0.2μg/kg/min</t>
    </r>
    <r>
      <rPr>
        <sz val="11"/>
        <rFont val="Noto Sans CJK SC"/>
        <family val="2"/>
      </rPr>
      <t xml:space="preserve">持続
・中心静脈からの投与が望ましい
・血管外漏出で壊死
・過度の末梢血管収縮・臓器灌流低下</t>
    </r>
  </si>
  <si>
    <t xml:space="preserve">アドレナリンの用量（アナフィラキシー・心停止）は。</t>
  </si>
  <si>
    <r>
      <rPr>
        <sz val="11"/>
        <rFont val="Noto Sans CJK SC"/>
        <family val="2"/>
      </rPr>
      <t xml:space="preserve">・アナフィラキシー：</t>
    </r>
    <r>
      <rPr>
        <sz val="11"/>
        <rFont val="游ゴシック"/>
        <family val="0"/>
        <charset val="1"/>
      </rPr>
      <t xml:space="preserve">0.3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0.5mg </t>
    </r>
    <r>
      <rPr>
        <sz val="11"/>
        <rFont val="Noto Sans CJK SC"/>
        <family val="2"/>
      </rPr>
      <t xml:space="preserve">筋注（大腿外側）
・術中で静脈路があれば </t>
    </r>
    <r>
      <rPr>
        <sz val="11"/>
        <rFont val="游ゴシック"/>
        <family val="0"/>
        <charset val="1"/>
      </rPr>
      <t xml:space="preserve">50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100μg</t>
    </r>
    <r>
      <rPr>
        <sz val="11"/>
        <rFont val="Noto Sans CJK SC"/>
        <family val="2"/>
      </rPr>
      <t xml:space="preserve">ずつ静注
・持続 </t>
    </r>
    <r>
      <rPr>
        <sz val="11"/>
        <rFont val="游ゴシック"/>
        <family val="0"/>
        <charset val="1"/>
      </rPr>
      <t xml:space="preserve">0.05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0.1μg/kg/min
</t>
    </r>
    <r>
      <rPr>
        <sz val="11"/>
        <rFont val="Noto Sans CJK SC"/>
        <family val="2"/>
      </rPr>
      <t xml:space="preserve">・心停止：</t>
    </r>
    <r>
      <rPr>
        <sz val="11"/>
        <rFont val="游ゴシック"/>
        <family val="0"/>
        <charset val="1"/>
      </rPr>
      <t xml:space="preserve">1mg</t>
    </r>
    <r>
      <rPr>
        <sz val="11"/>
        <rFont val="Noto Sans CJK SC"/>
        <family val="2"/>
      </rPr>
      <t xml:space="preserve">静注を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5</t>
    </r>
    <r>
      <rPr>
        <sz val="11"/>
        <rFont val="Noto Sans CJK SC"/>
        <family val="2"/>
      </rPr>
      <t xml:space="preserve">分毎</t>
    </r>
  </si>
  <si>
    <t xml:space="preserve">強心薬</t>
  </si>
  <si>
    <t xml:space="preserve">ドブタミン・ドパミンの使い分けは。</t>
  </si>
  <si>
    <r>
      <rPr>
        <sz val="11"/>
        <rFont val="Noto Sans CJK SC"/>
        <family val="2"/>
      </rPr>
      <t xml:space="preserve">・ドブタミン 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5μg/kg/min</t>
    </r>
    <r>
      <rPr>
        <sz val="11"/>
        <rFont val="Noto Sans CJK SC"/>
        <family val="2"/>
      </rPr>
      <t xml:space="preserve">：</t>
    </r>
    <r>
      <rPr>
        <sz val="11"/>
        <rFont val="游ゴシック"/>
        <family val="0"/>
        <charset val="1"/>
      </rPr>
      <t xml:space="preserve">β1</t>
    </r>
    <r>
      <rPr>
        <sz val="11"/>
        <rFont val="Noto Sans CJK SC"/>
        <family val="2"/>
      </rPr>
      <t xml:space="preserve">刺激で心収縮力↑、末梢血管抵抗↓
・ドパミン 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10μg/kg/min</t>
    </r>
    <r>
      <rPr>
        <sz val="11"/>
        <rFont val="Noto Sans CJK SC"/>
        <family val="2"/>
      </rPr>
      <t xml:space="preserve">：用量依存で</t>
    </r>
    <r>
      <rPr>
        <sz val="11"/>
        <rFont val="游ゴシック"/>
        <family val="0"/>
        <charset val="1"/>
      </rPr>
      <t xml:space="preserve">β→α
</t>
    </r>
    <r>
      <rPr>
        <sz val="11"/>
        <rFont val="Noto Sans CJK SC"/>
        <family val="2"/>
      </rPr>
      <t xml:space="preserve">・頻脈・不整脈に注意</t>
    </r>
  </si>
  <si>
    <t xml:space="preserve">抗コリン薬</t>
  </si>
  <si>
    <r>
      <rPr>
        <sz val="11"/>
        <rFont val="Noto Sans CJK SC"/>
        <family val="2"/>
      </rPr>
      <t xml:space="preserve">アトロピンの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回量と適応・副作用は。</t>
    </r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</si>
  <si>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回 </t>
    </r>
    <r>
      <rPr>
        <sz val="11"/>
        <rFont val="游ゴシック"/>
        <family val="0"/>
        <charset val="1"/>
      </rPr>
      <t xml:space="preserve">0.5mg</t>
    </r>
    <r>
      <rPr>
        <sz val="11"/>
        <rFont val="Noto Sans CJK SC"/>
        <family val="2"/>
      </rPr>
      <t xml:space="preserve">静注
・徐脈・迷走神経反射
・口渇、散瞳、頻脈、高齢者のせん妄
・緑内障・前立腺肥大に注意</t>
    </r>
  </si>
  <si>
    <t xml:space="preserve">降圧薬</t>
  </si>
  <si>
    <t xml:space="preserve">ニカルジピンの使い方は。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</si>
  <si>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0.2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0.5mg</t>
    </r>
    <r>
      <rPr>
        <sz val="11"/>
        <rFont val="Noto Sans CJK SC"/>
        <family val="2"/>
      </rPr>
      <t xml:space="preserve">（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回）静注
・持続 </t>
    </r>
    <r>
      <rPr>
        <sz val="11"/>
        <rFont val="游ゴシック"/>
        <family val="0"/>
        <charset val="1"/>
      </rPr>
      <t xml:space="preserve">0.5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5μg/kg/min
</t>
    </r>
    <r>
      <rPr>
        <sz val="11"/>
        <rFont val="Noto Sans CJK SC"/>
        <family val="2"/>
      </rPr>
      <t xml:space="preserve">・作用発現が速い
・反射性頻脈
・脳圧上昇に注意</t>
    </r>
  </si>
  <si>
    <t xml:space="preserve">ニトログリセリンの使い方は。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</si>
  <si>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0.5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5μg/kg/min</t>
    </r>
    <r>
      <rPr>
        <sz val="11"/>
        <rFont val="Noto Sans CJK SC"/>
        <family val="2"/>
      </rPr>
      <t xml:space="preserve">持続
・静脈拡張で前負荷軽減
・冠動脈拡張
・頭痛・反射性頻脈
・硝酸薬耐性</t>
    </r>
  </si>
  <si>
    <r>
      <rPr>
        <sz val="11"/>
        <rFont val="游ゴシック"/>
        <family val="0"/>
        <charset val="1"/>
      </rPr>
      <t xml:space="preserve">β</t>
    </r>
    <r>
      <rPr>
        <sz val="11"/>
        <rFont val="Noto Sans CJK SC"/>
        <family val="2"/>
      </rPr>
      <t xml:space="preserve">遮断薬</t>
    </r>
  </si>
  <si>
    <t xml:space="preserve">ランジオロールの使い方と注意点は。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</si>
  <si>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0.125mg/kg</t>
    </r>
    <r>
      <rPr>
        <sz val="11"/>
        <rFont val="Noto Sans CJK SC"/>
        <family val="2"/>
      </rPr>
      <t xml:space="preserve">静注 または 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10μg/kg/min
</t>
    </r>
    <r>
      <rPr>
        <sz val="11"/>
        <rFont val="Noto Sans CJK SC"/>
        <family val="2"/>
      </rPr>
      <t xml:space="preserve">・超短時間作用型</t>
    </r>
    <r>
      <rPr>
        <sz val="11"/>
        <rFont val="游ゴシック"/>
        <family val="0"/>
        <charset val="1"/>
      </rPr>
      <t xml:space="preserve">β1</t>
    </r>
    <r>
      <rPr>
        <sz val="11"/>
        <rFont val="Noto Sans CJK SC"/>
        <family val="2"/>
      </rPr>
      <t xml:space="preserve">選択性
・頻脈性心房細動・洞性頻脈
・徐脈・低血圧
・喘息・非代償性心不全に注意</t>
    </r>
  </si>
  <si>
    <t xml:space="preserve">抗不整脈薬</t>
  </si>
  <si>
    <t xml:space="preserve">術中の頻脈性心房細動への薬剤は。</t>
  </si>
  <si>
    <r>
      <rPr>
        <sz val="11"/>
        <rFont val="Noto Sans CJK SC"/>
        <family val="2"/>
      </rPr>
      <t xml:space="preserve">・ランジオロール
・ジルチアゼム </t>
    </r>
    <r>
      <rPr>
        <sz val="11"/>
        <rFont val="游ゴシック"/>
        <family val="0"/>
        <charset val="1"/>
      </rPr>
      <t xml:space="preserve">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10mg</t>
    </r>
    <r>
      <rPr>
        <sz val="11"/>
        <rFont val="Noto Sans CJK SC"/>
        <family val="2"/>
      </rPr>
      <t xml:space="preserve">静注
・アミオダロン
・循環不安定なら同期電気ショック
・電解質（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、</t>
    </r>
    <r>
      <rPr>
        <sz val="11"/>
        <rFont val="游ゴシック"/>
        <family val="0"/>
        <charset val="1"/>
      </rPr>
      <t xml:space="preserve">Mg</t>
    </r>
    <r>
      <rPr>
        <sz val="11"/>
        <rFont val="Noto Sans CJK SC"/>
        <family val="2"/>
      </rPr>
      <t xml:space="preserve">）補正</t>
    </r>
  </si>
  <si>
    <t xml:space="preserve">鎮痛薬</t>
  </si>
  <si>
    <t xml:space="preserve">アセトアミノフェン静注の用量と注意点は。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</si>
  <si>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15mg/kg</t>
    </r>
    <r>
      <rPr>
        <sz val="11"/>
        <rFont val="Noto Sans CJK SC"/>
        <family val="2"/>
      </rPr>
      <t xml:space="preserve">（成人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回</t>
    </r>
    <r>
      <rPr>
        <sz val="11"/>
        <rFont val="游ゴシック"/>
        <family val="0"/>
        <charset val="1"/>
      </rPr>
      <t xml:space="preserve">1000mg</t>
    </r>
    <r>
      <rPr>
        <sz val="11"/>
        <rFont val="Noto Sans CJK SC"/>
        <family val="2"/>
      </rPr>
      <t xml:space="preserve">）を</t>
    </r>
    <r>
      <rPr>
        <sz val="11"/>
        <rFont val="游ゴシック"/>
        <family val="0"/>
        <charset val="1"/>
      </rPr>
      <t xml:space="preserve">15</t>
    </r>
    <r>
      <rPr>
        <sz val="11"/>
        <rFont val="Noto Sans CJK SC"/>
        <family val="2"/>
      </rPr>
      <t xml:space="preserve">分で
・</t>
    </r>
    <r>
      <rPr>
        <sz val="11"/>
        <rFont val="游ゴシック"/>
        <family val="0"/>
        <charset val="1"/>
      </rPr>
      <t xml:space="preserve">4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6</t>
    </r>
    <r>
      <rPr>
        <sz val="11"/>
        <rFont val="Noto Sans CJK SC"/>
        <family val="2"/>
      </rPr>
      <t xml:space="preserve">時間毎、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日</t>
    </r>
    <r>
      <rPr>
        <sz val="11"/>
        <rFont val="游ゴシック"/>
        <family val="0"/>
        <charset val="1"/>
      </rPr>
      <t xml:space="preserve">4000mg</t>
    </r>
    <r>
      <rPr>
        <sz val="11"/>
        <rFont val="Noto Sans CJK SC"/>
        <family val="2"/>
      </rPr>
      <t xml:space="preserve">まで
・肝障害・低体重で減量
・血圧低下に注意</t>
    </r>
  </si>
  <si>
    <r>
      <rPr>
        <sz val="11"/>
        <rFont val="游ゴシック"/>
        <family val="0"/>
        <charset val="1"/>
      </rPr>
      <t xml:space="preserve">NSAIDs</t>
    </r>
    <r>
      <rPr>
        <sz val="11"/>
        <rFont val="Noto Sans CJK SC"/>
        <family val="2"/>
      </rPr>
      <t xml:space="preserve">（フルルビプロフェンなど）の用量と禁忌は。</t>
    </r>
  </si>
  <si>
    <r>
      <rPr>
        <sz val="11"/>
        <rFont val="Noto Sans CJK SC"/>
        <family val="2"/>
      </rPr>
      <t xml:space="preserve">・フルルビプロフェンアキセチル </t>
    </r>
    <r>
      <rPr>
        <sz val="11"/>
        <rFont val="游ゴシック"/>
        <family val="0"/>
        <charset val="1"/>
      </rPr>
      <t xml:space="preserve">50mg</t>
    </r>
    <r>
      <rPr>
        <sz val="11"/>
        <rFont val="Noto Sans CJK SC"/>
        <family val="2"/>
      </rPr>
      <t xml:space="preserve">静注
・禁忌・注意：腎障害、消化管潰瘍、喘息（アスピリン喘息）、出血傾向、妊娠後期</t>
    </r>
  </si>
  <si>
    <t xml:space="preserve">制吐薬</t>
  </si>
  <si>
    <r>
      <rPr>
        <sz val="11"/>
        <rFont val="游ゴシック"/>
        <family val="0"/>
        <charset val="1"/>
      </rPr>
      <t xml:space="preserve">PONV</t>
    </r>
    <r>
      <rPr>
        <sz val="11"/>
        <rFont val="Noto Sans CJK SC"/>
        <family val="2"/>
      </rPr>
      <t xml:space="preserve">に使う薬と用量は。</t>
    </r>
  </si>
  <si>
    <r>
      <rPr>
        <sz val="11"/>
        <rFont val="Noto Sans CJK SC"/>
        <family val="2"/>
      </rPr>
      <t xml:space="preserve">・デキサメタゾン </t>
    </r>
    <r>
      <rPr>
        <sz val="11"/>
        <rFont val="游ゴシック"/>
        <family val="0"/>
        <charset val="1"/>
      </rPr>
      <t xml:space="preserve">4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8mg</t>
    </r>
    <r>
      <rPr>
        <sz val="11"/>
        <rFont val="Noto Sans CJK SC"/>
        <family val="2"/>
      </rPr>
      <t xml:space="preserve">（導入時）
・オンダンセトロン </t>
    </r>
    <r>
      <rPr>
        <sz val="11"/>
        <rFont val="游ゴシック"/>
        <family val="0"/>
        <charset val="1"/>
      </rPr>
      <t xml:space="preserve">4mg</t>
    </r>
    <r>
      <rPr>
        <sz val="11"/>
        <rFont val="Noto Sans CJK SC"/>
        <family val="2"/>
      </rPr>
      <t xml:space="preserve">（手術終了前）
・ドロペリドール </t>
    </r>
    <r>
      <rPr>
        <sz val="11"/>
        <rFont val="游ゴシック"/>
        <family val="0"/>
        <charset val="1"/>
      </rPr>
      <t xml:space="preserve">0.625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1.25mg
</t>
    </r>
    <r>
      <rPr>
        <sz val="11"/>
        <rFont val="Noto Sans CJK SC"/>
        <family val="2"/>
      </rPr>
      <t xml:space="preserve">・メトクロプラミド </t>
    </r>
    <r>
      <rPr>
        <sz val="11"/>
        <rFont val="游ゴシック"/>
        <family val="0"/>
        <charset val="1"/>
      </rPr>
      <t xml:space="preserve">10mg
</t>
    </r>
    <r>
      <rPr>
        <sz val="11"/>
        <rFont val="Noto Sans CJK SC"/>
        <family val="2"/>
      </rPr>
      <t xml:space="preserve">・多剤併用が有効</t>
    </r>
  </si>
  <si>
    <r>
      <rPr>
        <sz val="11"/>
        <rFont val="游ゴシック"/>
        <family val="0"/>
        <charset val="1"/>
      </rPr>
      <t xml:space="preserve">PONV</t>
    </r>
    <r>
      <rPr>
        <sz val="11"/>
        <rFont val="Noto Sans CJK SC"/>
        <family val="2"/>
      </rPr>
      <t xml:space="preserve">のリスク因子は。</t>
    </r>
  </si>
  <si>
    <r>
      <rPr>
        <sz val="11"/>
        <rFont val="Noto Sans CJK SC"/>
        <family val="2"/>
      </rPr>
      <t xml:space="preserve">・女性
・非喫煙者
・</t>
    </r>
    <r>
      <rPr>
        <sz val="11"/>
        <rFont val="游ゴシック"/>
        <family val="0"/>
        <charset val="1"/>
      </rPr>
      <t xml:space="preserve">PONV</t>
    </r>
    <r>
      <rPr>
        <sz val="11"/>
        <rFont val="Noto Sans CJK SC"/>
        <family val="2"/>
      </rPr>
      <t xml:space="preserve">・乗り物酔いの既往
・術後オピオイド使用
・揮発性麻酔薬・亜酸化窒素
・腹腔鏡・婦人科・耳鼻科手術
・長時間手術</t>
    </r>
  </si>
  <si>
    <t xml:space="preserve">局所麻酔薬</t>
  </si>
  <si>
    <t xml:space="preserve">リドカインの最大投与量は。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</si>
  <si>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5mg/kg
</t>
    </r>
    <r>
      <rPr>
        <sz val="11"/>
        <rFont val="Noto Sans CJK SC"/>
        <family val="2"/>
      </rPr>
      <t xml:space="preserve">・アドレナリン添加で</t>
    </r>
    <r>
      <rPr>
        <sz val="11"/>
        <rFont val="游ゴシック"/>
        <family val="0"/>
        <charset val="1"/>
      </rPr>
      <t xml:space="preserve">7mg/kg</t>
    </r>
  </si>
  <si>
    <t xml:space="preserve">ロピバカイン・ブピバカインの最大量と特徴は。</t>
  </si>
  <si>
    <r>
      <rPr>
        <sz val="11"/>
        <rFont val="Noto Sans CJK SC"/>
        <family val="2"/>
      </rPr>
      <t xml:space="preserve">・ロピバカイン </t>
    </r>
    <r>
      <rPr>
        <sz val="11"/>
        <rFont val="游ゴシック"/>
        <family val="0"/>
        <charset val="1"/>
      </rPr>
      <t xml:space="preserve">3mg/kg
</t>
    </r>
    <r>
      <rPr>
        <sz val="11"/>
        <rFont val="Noto Sans CJK SC"/>
        <family val="2"/>
      </rPr>
      <t xml:space="preserve">・ブピバカイン </t>
    </r>
    <r>
      <rPr>
        <sz val="11"/>
        <rFont val="游ゴシック"/>
        <family val="0"/>
        <charset val="1"/>
      </rPr>
      <t xml:space="preserve">2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2.5mg/kg
</t>
    </r>
    <r>
      <rPr>
        <sz val="11"/>
        <rFont val="Noto Sans CJK SC"/>
        <family val="2"/>
      </rPr>
      <t xml:space="preserve">・ブピバカインは心毒性が強い
・ロピバカインは運動遮断が弱く心毒性が低い</t>
    </r>
  </si>
  <si>
    <t xml:space="preserve">局所麻酔薬中毒の症状と治療は。</t>
  </si>
  <si>
    <r>
      <rPr>
        <sz val="11"/>
        <rFont val="Noto Sans CJK SC"/>
        <family val="2"/>
      </rPr>
      <t xml:space="preserve">・症状：口周囲のしびれ、耳鳴り、多弁、けいれん、意識消失、不整脈、心停止
・治療：投与中止、気道確保・酸素、ベンゾジアゼピンでけいれん抑制
・</t>
    </r>
    <r>
      <rPr>
        <sz val="11"/>
        <rFont val="游ゴシック"/>
        <family val="0"/>
        <charset val="1"/>
      </rPr>
      <t xml:space="preserve">20%</t>
    </r>
    <r>
      <rPr>
        <sz val="11"/>
        <rFont val="Noto Sans CJK SC"/>
        <family val="2"/>
      </rPr>
      <t xml:space="preserve">脂肪乳剤 </t>
    </r>
    <r>
      <rPr>
        <sz val="11"/>
        <rFont val="游ゴシック"/>
        <family val="0"/>
        <charset val="1"/>
      </rPr>
      <t xml:space="preserve">1.5mL/kg bolus → 0.25mL/kg/min
</t>
    </r>
    <r>
      <rPr>
        <sz val="11"/>
        <rFont val="Noto Sans CJK SC"/>
        <family val="2"/>
      </rPr>
      <t xml:space="preserve">・アドレナリンは少量
・体外循環も考慮</t>
    </r>
  </si>
  <si>
    <t xml:space="preserve">その他</t>
  </si>
  <si>
    <t xml:space="preserve">トラネキサム酸の用量と適応は。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</si>
  <si>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10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15mg/kg</t>
    </r>
    <r>
      <rPr>
        <sz val="11"/>
        <rFont val="Noto Sans CJK SC"/>
        <family val="2"/>
      </rPr>
      <t xml:space="preserve">（成人</t>
    </r>
    <r>
      <rPr>
        <sz val="11"/>
        <rFont val="游ゴシック"/>
        <family val="0"/>
        <charset val="1"/>
      </rPr>
      <t xml:space="preserve">1g</t>
    </r>
    <r>
      <rPr>
        <sz val="11"/>
        <rFont val="Noto Sans CJK SC"/>
        <family val="2"/>
      </rPr>
      <t xml:space="preserve">）
・外傷・整形外科・心臓外科・産科出血
・けいれん・血栓症のリスク</t>
    </r>
  </si>
  <si>
    <t xml:space="preserve">プロタミンの投与量と副作用は。</t>
  </si>
  <si>
    <r>
      <rPr>
        <sz val="11"/>
        <rFont val="Noto Sans CJK SC"/>
        <family val="2"/>
      </rPr>
      <t xml:space="preserve">・ヘパリン</t>
    </r>
    <r>
      <rPr>
        <sz val="11"/>
        <rFont val="游ゴシック"/>
        <family val="0"/>
        <charset val="1"/>
      </rPr>
      <t xml:space="preserve">100</t>
    </r>
    <r>
      <rPr>
        <sz val="11"/>
        <rFont val="Noto Sans CJK SC"/>
        <family val="2"/>
      </rPr>
      <t xml:space="preserve">単位に対し</t>
    </r>
    <r>
      <rPr>
        <sz val="11"/>
        <rFont val="游ゴシック"/>
        <family val="0"/>
        <charset val="1"/>
      </rPr>
      <t xml:space="preserve">1mg
</t>
    </r>
    <r>
      <rPr>
        <sz val="11"/>
        <rFont val="Noto Sans CJK SC"/>
        <family val="2"/>
      </rPr>
      <t xml:space="preserve">・急速投与で低血圧・肺高血圧
・アナフィラキシー（魚アレルギー、</t>
    </r>
    <r>
      <rPr>
        <sz val="11"/>
        <rFont val="游ゴシック"/>
        <family val="0"/>
        <charset val="1"/>
      </rPr>
      <t xml:space="preserve">NPH</t>
    </r>
    <r>
      <rPr>
        <sz val="11"/>
        <rFont val="Noto Sans CJK SC"/>
        <family val="2"/>
      </rPr>
      <t xml:space="preserve">インスリン使用者）
・過量で出血傾向</t>
    </r>
  </si>
  <si>
    <r>
      <rPr>
        <sz val="11"/>
        <rFont val="Noto Sans CJK SC"/>
        <family val="2"/>
      </rPr>
      <t xml:space="preserve">高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血症の緊急治療を挙げよ。</t>
    </r>
  </si>
  <si>
    <r>
      <rPr>
        <sz val="11"/>
        <rFont val="Noto Sans CJK SC"/>
        <family val="2"/>
      </rPr>
      <t xml:space="preserve">・グルコン酸カルシウム（心筋膜安定化）
・グルコース・インスリン療法
・炭酸水素ナトリウム
・</t>
    </r>
    <r>
      <rPr>
        <sz val="11"/>
        <rFont val="游ゴシック"/>
        <family val="0"/>
        <charset val="1"/>
      </rPr>
      <t xml:space="preserve">β2</t>
    </r>
    <r>
      <rPr>
        <sz val="11"/>
        <rFont val="Noto Sans CJK SC"/>
        <family val="2"/>
      </rPr>
      <t xml:space="preserve">刺激薬吸入
・過換気
・利尿薬・透析</t>
    </r>
  </si>
  <si>
    <t xml:space="preserve">硫酸マグネシウムの周術期の用途と注意点は。</t>
  </si>
  <si>
    <r>
      <rPr>
        <sz val="11"/>
        <rFont val="Noto Sans CJK SC"/>
        <family val="2"/>
      </rPr>
      <t xml:space="preserve">・子癇・妊娠高血圧
・</t>
    </r>
    <r>
      <rPr>
        <sz val="11"/>
        <rFont val="游ゴシック"/>
        <family val="0"/>
        <charset val="1"/>
      </rPr>
      <t xml:space="preserve">torsades de pointes
</t>
    </r>
    <r>
      <rPr>
        <sz val="11"/>
        <rFont val="Noto Sans CJK SC"/>
        <family val="2"/>
      </rPr>
      <t xml:space="preserve">・気管支痙攣
・鎮痛補助
・注意：筋弛緩薬の作用増強、腱反射消失、呼吸抑制</t>
    </r>
  </si>
  <si>
    <t xml:space="preserve">悪性高熱の治療は。</t>
  </si>
  <si>
    <r>
      <rPr>
        <sz val="11"/>
        <rFont val="Noto Sans CJK SC"/>
        <family val="2"/>
      </rPr>
      <t xml:space="preserve">・揮発性麻酔薬・スキサメトニウムの即時中止
・</t>
    </r>
    <r>
      <rPr>
        <sz val="11"/>
        <rFont val="游ゴシック"/>
        <family val="0"/>
        <charset val="1"/>
      </rPr>
      <t xml:space="preserve">100%</t>
    </r>
    <r>
      <rPr>
        <sz val="11"/>
        <rFont val="Noto Sans CJK SC"/>
        <family val="2"/>
      </rPr>
      <t xml:space="preserve">酸素で過換気
・ダントロレン </t>
    </r>
    <r>
      <rPr>
        <sz val="11"/>
        <rFont val="游ゴシック"/>
        <family val="0"/>
        <charset val="1"/>
      </rPr>
      <t xml:space="preserve">1mg/kg</t>
    </r>
    <r>
      <rPr>
        <sz val="11"/>
        <rFont val="Noto Sans CJK SC"/>
        <family val="2"/>
      </rPr>
      <t xml:space="preserve">静注（効果不十分なら反復、最大</t>
    </r>
    <r>
      <rPr>
        <sz val="11"/>
        <rFont val="游ゴシック"/>
        <family val="0"/>
        <charset val="1"/>
      </rPr>
      <t xml:space="preserve">10mg/kg</t>
    </r>
    <r>
      <rPr>
        <sz val="11"/>
        <rFont val="Noto Sans CJK SC"/>
        <family val="2"/>
      </rPr>
      <t xml:space="preserve">）
・冷却
・高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血症・アシドーシス・不整脈の治療
・尿量確保（ミオグロビン尿）</t>
    </r>
  </si>
  <si>
    <t xml:space="preserve">亜酸化窒素を避けるべき状況は。</t>
  </si>
  <si>
    <r>
      <rPr>
        <sz val="11"/>
        <rFont val="Noto Sans CJK SC"/>
        <family val="2"/>
      </rPr>
      <t xml:space="preserve">・腸閉塞
・気胸・気脳症
・空気塞栓
・鼓室形成術
・眼内ガス（</t>
    </r>
    <r>
      <rPr>
        <sz val="11"/>
        <rFont val="游ゴシック"/>
        <family val="0"/>
        <charset val="1"/>
      </rPr>
      <t xml:space="preserve">SF6</t>
    </r>
    <r>
      <rPr>
        <sz val="11"/>
        <rFont val="Noto Sans CJK SC"/>
        <family val="2"/>
      </rPr>
      <t xml:space="preserve">）使用後
・妊娠初期
・長時間使用（骨髄抑制・ビタミン</t>
    </r>
    <r>
      <rPr>
        <sz val="11"/>
        <rFont val="游ゴシック"/>
        <family val="0"/>
        <charset val="1"/>
      </rPr>
      <t xml:space="preserve">B12</t>
    </r>
    <r>
      <rPr>
        <sz val="11"/>
        <rFont val="Noto Sans CJK SC"/>
        <family val="2"/>
      </rPr>
      <t xml:space="preserve">）
・</t>
    </r>
    <r>
      <rPr>
        <sz val="11"/>
        <rFont val="游ゴシック"/>
        <family val="0"/>
        <charset val="1"/>
      </rPr>
      <t xml:space="preserve">PONV</t>
    </r>
    <r>
      <rPr>
        <sz val="11"/>
        <rFont val="Noto Sans CJK SC"/>
        <family val="2"/>
      </rPr>
      <t xml:space="preserve">リスク</t>
    </r>
  </si>
  <si>
    <t xml:space="preserve">肥満患者で薬用量を計算する体重は。</t>
  </si>
  <si>
    <t xml:space="preserve">・導入時のプロポフォールは除脂肪体重〜補正体重
・維持は補正体重
・ロクロニウム・非脱分極性筋弛緩薬は理想体重
・スキサメトニウムは実体重
・脂溶性薬は蓄積しやすい</t>
  </si>
  <si>
    <t xml:space="preserve">呼吸・人工呼吸</t>
  </si>
  <si>
    <t xml:space="preserve">気道評価</t>
  </si>
  <si>
    <t xml:space="preserve">マスク換気困難を予測する因子は。</t>
  </si>
  <si>
    <r>
      <rPr>
        <sz val="11"/>
        <rFont val="Noto Sans CJK SC"/>
        <family val="2"/>
      </rPr>
      <t xml:space="preserve">・肥満
・高齢
・髭
・無歯
・いびき・睡眠時無呼吸
・下顎後退・小顎
・</t>
    </r>
    <r>
      <rPr>
        <sz val="11"/>
        <rFont val="游ゴシック"/>
        <family val="0"/>
        <charset val="1"/>
      </rPr>
      <t xml:space="preserve">Mallampati</t>
    </r>
    <r>
      <rPr>
        <sz val="11"/>
        <rFont val="Noto Sans CJK SC"/>
        <family val="2"/>
      </rPr>
      <t xml:space="preserve">分類が高い</t>
    </r>
  </si>
  <si>
    <t xml:space="preserve">挿管困難を予測する所見は。</t>
  </si>
  <si>
    <r>
      <rPr>
        <sz val="11"/>
        <rFont val="Noto Sans CJK SC"/>
        <family val="2"/>
      </rPr>
      <t xml:space="preserve">・開口 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横指未満
・甲状オトガイ間距離 </t>
    </r>
    <r>
      <rPr>
        <sz val="11"/>
        <rFont val="游ゴシック"/>
        <family val="0"/>
        <charset val="1"/>
      </rPr>
      <t xml:space="preserve">6cm</t>
    </r>
    <r>
      <rPr>
        <sz val="11"/>
        <rFont val="Noto Sans CJK SC"/>
        <family val="2"/>
      </rPr>
      <t xml:space="preserve">未満
・頸部の可動制限
・</t>
    </r>
    <r>
      <rPr>
        <sz val="11"/>
        <rFont val="游ゴシック"/>
        <family val="0"/>
        <charset val="1"/>
      </rPr>
      <t xml:space="preserve">Mallampati III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IV
</t>
    </r>
    <r>
      <rPr>
        <sz val="11"/>
        <rFont val="Noto Sans CJK SC"/>
        <family val="2"/>
      </rPr>
      <t xml:space="preserve">・挿管困難の既往
・小顎・大きな舌・突出した切歯
・頸部の腫瘤・放射線照射後</t>
    </r>
  </si>
  <si>
    <t xml:space="preserve">気道確保</t>
  </si>
  <si>
    <t xml:space="preserve">前酸素化（脱窒素）の方法と目安は。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</si>
  <si>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100%</t>
    </r>
    <r>
      <rPr>
        <sz val="11"/>
        <rFont val="Noto Sans CJK SC"/>
        <family val="2"/>
      </rPr>
      <t xml:space="preserve">酸素を密着マスクで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分
・または</t>
    </r>
    <r>
      <rPr>
        <sz val="11"/>
        <rFont val="游ゴシック"/>
        <family val="0"/>
        <charset val="1"/>
      </rPr>
      <t xml:space="preserve">8</t>
    </r>
    <r>
      <rPr>
        <sz val="11"/>
        <rFont val="Noto Sans CJK SC"/>
        <family val="2"/>
      </rPr>
      <t xml:space="preserve">回の深呼吸
・</t>
    </r>
    <r>
      <rPr>
        <sz val="11"/>
        <rFont val="游ゴシック"/>
        <family val="0"/>
        <charset val="1"/>
      </rPr>
      <t xml:space="preserve">EtO2 90%</t>
    </r>
    <r>
      <rPr>
        <sz val="11"/>
        <rFont val="Noto Sans CJK SC"/>
        <family val="2"/>
      </rPr>
      <t xml:space="preserve">以上を目標
・肥満・妊婦・小児では効果が短い</t>
    </r>
  </si>
  <si>
    <r>
      <rPr>
        <sz val="11"/>
        <rFont val="Noto Sans CJK SC"/>
        <family val="2"/>
      </rPr>
      <t xml:space="preserve">迅速導入（</t>
    </r>
    <r>
      <rPr>
        <sz val="11"/>
        <rFont val="游ゴシック"/>
        <family val="0"/>
        <charset val="1"/>
      </rPr>
      <t xml:space="preserve">RSI</t>
    </r>
    <r>
      <rPr>
        <sz val="11"/>
        <rFont val="Noto Sans CJK SC"/>
        <family val="2"/>
      </rPr>
      <t xml:space="preserve">）の手順は。</t>
    </r>
  </si>
  <si>
    <r>
      <rPr>
        <sz val="11"/>
        <rFont val="Noto Sans CJK SC"/>
        <family val="2"/>
      </rPr>
      <t xml:space="preserve">・十分な前酸素化
・静脈麻酔薬＋ロクロニウム</t>
    </r>
    <r>
      <rPr>
        <sz val="11"/>
        <rFont val="游ゴシック"/>
        <family val="0"/>
        <charset val="1"/>
      </rPr>
      <t xml:space="preserve">1.0mg/kg</t>
    </r>
    <r>
      <rPr>
        <sz val="11"/>
        <rFont val="Noto Sans CJK SC"/>
        <family val="2"/>
      </rPr>
      <t xml:space="preserve">（またはスキサメトニウム</t>
    </r>
    <r>
      <rPr>
        <sz val="11"/>
        <rFont val="游ゴシック"/>
        <family val="0"/>
        <charset val="1"/>
      </rPr>
      <t xml:space="preserve">1mg/kg</t>
    </r>
    <r>
      <rPr>
        <sz val="11"/>
        <rFont val="Noto Sans CJK SC"/>
        <family val="2"/>
      </rPr>
      <t xml:space="preserve">）
・マスク換気は原則行わない
・輪状軟骨圧迫（賛否あり）
・頭高位
・吸引の準備
・胃管留置</t>
    </r>
  </si>
  <si>
    <r>
      <rPr>
        <sz val="11"/>
        <rFont val="Noto Sans CJK SC"/>
        <family val="2"/>
      </rPr>
      <t xml:space="preserve">換気も挿管もできない（</t>
    </r>
    <r>
      <rPr>
        <sz val="11"/>
        <rFont val="游ゴシック"/>
        <family val="0"/>
        <charset val="1"/>
      </rPr>
      <t xml:space="preserve">CICO</t>
    </r>
    <r>
      <rPr>
        <sz val="11"/>
        <rFont val="Noto Sans CJK SC"/>
        <family val="2"/>
      </rPr>
      <t xml:space="preserve">）ときの対応は。</t>
    </r>
  </si>
  <si>
    <r>
      <rPr>
        <sz val="11"/>
        <rFont val="Noto Sans CJK SC"/>
        <family val="2"/>
      </rPr>
      <t xml:space="preserve">・応援を呼ぶ
・</t>
    </r>
    <r>
      <rPr>
        <sz val="11"/>
        <rFont val="游ゴシック"/>
        <family val="0"/>
        <charset val="1"/>
      </rPr>
      <t xml:space="preserve">100%</t>
    </r>
    <r>
      <rPr>
        <sz val="11"/>
        <rFont val="Noto Sans CJK SC"/>
        <family val="2"/>
      </rPr>
      <t xml:space="preserve">酸素
・声門上器具（ラリンジアルマスク）
・ビデオ喉頭鏡
・筋弛緩薬の投与も検討
・輪状甲状膜穿刺・切開</t>
    </r>
  </si>
  <si>
    <t xml:space="preserve">トラブル</t>
  </si>
  <si>
    <t xml:space="preserve">気道内圧が上昇した。鑑別を挙げよ。</t>
  </si>
  <si>
    <t xml:space="preserve">・チューブの屈曲・閉塞・カフヘルニア
・分泌物
・片肺挿管
・気管支痙攣
・筋弛緩不足・バッキング
・気胸
・気腹・頭低位・術者の圧迫
・肺水腫・無気肺</t>
  </si>
  <si>
    <t xml:space="preserve">片肺挿管を疑う所見と対応は。</t>
  </si>
  <si>
    <r>
      <rPr>
        <sz val="11"/>
        <rFont val="Noto Sans CJK SC"/>
        <family val="2"/>
      </rPr>
      <t xml:space="preserve">・左呼吸音の減弱
・気道内圧上昇
・</t>
    </r>
    <r>
      <rPr>
        <sz val="11"/>
        <rFont val="游ゴシック"/>
        <family val="0"/>
        <charset val="1"/>
      </rPr>
      <t xml:space="preserve">SpO2</t>
    </r>
    <r>
      <rPr>
        <sz val="11"/>
        <rFont val="Noto Sans CJK SC"/>
        <family val="2"/>
      </rPr>
      <t xml:space="preserve">低下
・チューブ深さの確認
・カフを抜いて引き戻す
・聴診で再確認</t>
    </r>
  </si>
  <si>
    <t xml:space="preserve">術中の低酸素血症の鑑別は。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</si>
  <si>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FiO2</t>
    </r>
    <r>
      <rPr>
        <sz val="11"/>
        <rFont val="Noto Sans CJK SC"/>
        <family val="2"/>
      </rPr>
      <t xml:space="preserve">・回路・酸素供給の異常
・片肺挿管・チューブトラブル
・無気肺
・分泌物・喀痰貯留
・気管支痙攣
・気胸
・肺塞栓・空気塞栓
・肺水腫
・心拍出量低下
・</t>
    </r>
    <r>
      <rPr>
        <sz val="11"/>
        <rFont val="游ゴシック"/>
        <family val="0"/>
        <charset val="1"/>
      </rPr>
      <t xml:space="preserve">SpO2</t>
    </r>
    <r>
      <rPr>
        <sz val="11"/>
        <rFont val="Noto Sans CJK SC"/>
        <family val="2"/>
      </rPr>
      <t xml:space="preserve">プローブ不良</t>
    </r>
  </si>
  <si>
    <t xml:space="preserve">術中の気管支痙攣への対応は。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</si>
  <si>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FiO2 100%
</t>
    </r>
    <r>
      <rPr>
        <sz val="11"/>
        <rFont val="Noto Sans CJK SC"/>
        <family val="2"/>
      </rPr>
      <t xml:space="preserve">・麻酔を深くする（セボフルラン、プロポフォール、ケタミン）
・</t>
    </r>
    <r>
      <rPr>
        <sz val="11"/>
        <rFont val="游ゴシック"/>
        <family val="0"/>
        <charset val="1"/>
      </rPr>
      <t xml:space="preserve">β2</t>
    </r>
    <r>
      <rPr>
        <sz val="11"/>
        <rFont val="Noto Sans CJK SC"/>
        <family val="2"/>
      </rPr>
      <t xml:space="preserve">刺激薬吸入
・アドレナリン
・ステロイド
・チューブ位置・閉塞の確認
・鑑別：アナフィラキシー、気胸、片肺挿管</t>
    </r>
  </si>
  <si>
    <t xml:space="preserve">換気設定</t>
  </si>
  <si>
    <t xml:space="preserve">肺保護換気の基本設定は。</t>
  </si>
  <si>
    <r>
      <rPr>
        <sz val="11"/>
        <rFont val="Noto Sans CJK SC"/>
        <family val="2"/>
      </rPr>
      <t xml:space="preserve">・一回換気量 </t>
    </r>
    <r>
      <rPr>
        <sz val="11"/>
        <rFont val="游ゴシック"/>
        <family val="0"/>
        <charset val="1"/>
      </rPr>
      <t xml:space="preserve">6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8mL/kg</t>
    </r>
    <r>
      <rPr>
        <sz val="11"/>
        <rFont val="Noto Sans CJK SC"/>
        <family val="2"/>
      </rPr>
      <t xml:space="preserve">（予測体重）
・</t>
    </r>
    <r>
      <rPr>
        <sz val="11"/>
        <rFont val="游ゴシック"/>
        <family val="0"/>
        <charset val="1"/>
      </rPr>
      <t xml:space="preserve">PEEP 5cmH2O</t>
    </r>
    <r>
      <rPr>
        <sz val="11"/>
        <rFont val="Noto Sans CJK SC"/>
        <family val="2"/>
      </rPr>
      <t xml:space="preserve">前後
・プラトー圧 </t>
    </r>
    <r>
      <rPr>
        <sz val="11"/>
        <rFont val="游ゴシック"/>
        <family val="0"/>
        <charset val="1"/>
      </rPr>
      <t xml:space="preserve">30cmH2O</t>
    </r>
    <r>
      <rPr>
        <sz val="11"/>
        <rFont val="Noto Sans CJK SC"/>
        <family val="2"/>
      </rPr>
      <t xml:space="preserve">未満
・ドライビングプレッシャー </t>
    </r>
    <r>
      <rPr>
        <sz val="11"/>
        <rFont val="游ゴシック"/>
        <family val="0"/>
        <charset val="1"/>
      </rPr>
      <t xml:space="preserve">15cmH2O</t>
    </r>
    <r>
      <rPr>
        <sz val="11"/>
        <rFont val="Noto Sans CJK SC"/>
        <family val="2"/>
      </rPr>
      <t xml:space="preserve">未満
・適宜リクルートメント
・</t>
    </r>
    <r>
      <rPr>
        <sz val="11"/>
        <rFont val="游ゴシック"/>
        <family val="0"/>
        <charset val="1"/>
      </rPr>
      <t xml:space="preserve">permissive hypercapnia</t>
    </r>
  </si>
  <si>
    <r>
      <rPr>
        <sz val="11"/>
        <rFont val="游ゴシック"/>
        <family val="0"/>
        <charset val="1"/>
      </rPr>
      <t xml:space="preserve">PEEP</t>
    </r>
    <r>
      <rPr>
        <sz val="11"/>
        <rFont val="Noto Sans CJK SC"/>
        <family val="2"/>
      </rPr>
      <t xml:space="preserve">をかける意義と弊害は。</t>
    </r>
  </si>
  <si>
    <t xml:space="preserve">・意義：機能的残気量の維持、無気肺予防、酸素化改善
・弊害：静脈還流低下・血圧低下、圧損傷、脳圧上昇、過膨張</t>
  </si>
  <si>
    <t xml:space="preserve">リクルートメント手技の方法と注意点は。</t>
  </si>
  <si>
    <r>
      <rPr>
        <sz val="11"/>
        <rFont val="Noto Sans CJK SC"/>
        <family val="2"/>
      </rPr>
      <t xml:space="preserve">・気道内圧</t>
    </r>
    <r>
      <rPr>
        <sz val="11"/>
        <rFont val="游ゴシック"/>
        <family val="0"/>
        <charset val="1"/>
      </rPr>
      <t xml:space="preserve">30cmH2O</t>
    </r>
    <r>
      <rPr>
        <sz val="11"/>
        <rFont val="Noto Sans CJK SC"/>
        <family val="2"/>
      </rPr>
      <t xml:space="preserve">前後を</t>
    </r>
    <r>
      <rPr>
        <sz val="11"/>
        <rFont val="游ゴシック"/>
        <family val="0"/>
        <charset val="1"/>
      </rPr>
      <t xml:space="preserve">20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30</t>
    </r>
    <r>
      <rPr>
        <sz val="11"/>
        <rFont val="Noto Sans CJK SC"/>
        <family val="2"/>
      </rPr>
      <t xml:space="preserve">秒保持
・実施後に適切な</t>
    </r>
    <r>
      <rPr>
        <sz val="11"/>
        <rFont val="游ゴシック"/>
        <family val="0"/>
        <charset val="1"/>
      </rPr>
      <t xml:space="preserve">PEEP</t>
    </r>
    <r>
      <rPr>
        <sz val="11"/>
        <rFont val="Noto Sans CJK SC"/>
        <family val="2"/>
      </rPr>
      <t xml:space="preserve">を設定
・血圧低下
・圧損傷・気胸
・循環不安定例では避ける</t>
    </r>
  </si>
  <si>
    <r>
      <rPr>
        <sz val="11"/>
        <rFont val="游ゴシック"/>
        <family val="0"/>
        <charset val="1"/>
      </rPr>
      <t xml:space="preserve">PCV</t>
    </r>
    <r>
      <rPr>
        <sz val="11"/>
        <rFont val="Noto Sans CJK SC"/>
        <family val="2"/>
      </rPr>
      <t xml:space="preserve">と</t>
    </r>
    <r>
      <rPr>
        <sz val="11"/>
        <rFont val="游ゴシック"/>
        <family val="0"/>
        <charset val="1"/>
      </rPr>
      <t xml:space="preserve">VCV</t>
    </r>
    <r>
      <rPr>
        <sz val="11"/>
        <rFont val="Noto Sans CJK SC"/>
        <family val="2"/>
      </rPr>
      <t xml:space="preserve">の使い分けは。</t>
    </r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</si>
  <si>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PCV</t>
    </r>
    <r>
      <rPr>
        <sz val="11"/>
        <rFont val="Noto Sans CJK SC"/>
        <family val="2"/>
      </rPr>
      <t xml:space="preserve">：気道内圧を制限したいとき、小児、ラリンジアルマスク、肺コンプライアンス低下
・</t>
    </r>
    <r>
      <rPr>
        <sz val="11"/>
        <rFont val="游ゴシック"/>
        <family val="0"/>
        <charset val="1"/>
      </rPr>
      <t xml:space="preserve">VCV</t>
    </r>
    <r>
      <rPr>
        <sz val="11"/>
        <rFont val="Noto Sans CJK SC"/>
        <family val="2"/>
      </rPr>
      <t xml:space="preserve">：一回換気量を確実に保証、腹腔鏡や体位変換で換気量が変動しやすいとき
・</t>
    </r>
    <r>
      <rPr>
        <sz val="11"/>
        <rFont val="游ゴシック"/>
        <family val="0"/>
        <charset val="1"/>
      </rPr>
      <t xml:space="preserve">PCV</t>
    </r>
    <r>
      <rPr>
        <sz val="11"/>
        <rFont val="Noto Sans CJK SC"/>
        <family val="2"/>
      </rPr>
      <t xml:space="preserve">は体位・気腹で換気量が減る点に注意</t>
    </r>
  </si>
  <si>
    <r>
      <rPr>
        <sz val="11"/>
        <rFont val="游ゴシック"/>
        <family val="0"/>
        <charset val="1"/>
      </rPr>
      <t xml:space="preserve">COPD</t>
    </r>
    <r>
      <rPr>
        <sz val="11"/>
        <rFont val="Noto Sans CJK SC"/>
        <family val="2"/>
      </rPr>
      <t xml:space="preserve">患者の換気設定の要点は。</t>
    </r>
  </si>
  <si>
    <r>
      <rPr>
        <sz val="11"/>
        <rFont val="Noto Sans CJK SC"/>
        <family val="2"/>
      </rPr>
      <t xml:space="preserve">・呼気時間を長く（</t>
    </r>
    <r>
      <rPr>
        <sz val="11"/>
        <rFont val="游ゴシック"/>
        <family val="0"/>
        <charset val="1"/>
      </rPr>
      <t xml:space="preserve">I:E 1:3</t>
    </r>
    <r>
      <rPr>
        <sz val="11"/>
        <rFont val="Noto Sans CJK SC"/>
        <family val="2"/>
      </rPr>
      <t xml:space="preserve">以上）
・呼吸数を下げる
・</t>
    </r>
    <r>
      <rPr>
        <sz val="11"/>
        <rFont val="游ゴシック"/>
        <family val="0"/>
        <charset val="1"/>
      </rPr>
      <t xml:space="preserve">auto-PEEP</t>
    </r>
    <r>
      <rPr>
        <sz val="11"/>
        <rFont val="Noto Sans CJK SC"/>
        <family val="2"/>
      </rPr>
      <t xml:space="preserve">（内因性</t>
    </r>
    <r>
      <rPr>
        <sz val="11"/>
        <rFont val="游ゴシック"/>
        <family val="0"/>
        <charset val="1"/>
      </rPr>
      <t xml:space="preserve">PEEP</t>
    </r>
    <r>
      <rPr>
        <sz val="11"/>
        <rFont val="Noto Sans CJK SC"/>
        <family val="2"/>
      </rPr>
      <t xml:space="preserve">）に注意
・一回換気量は控えめ
・気管支拡張薬</t>
    </r>
  </si>
  <si>
    <t xml:space="preserve">生理</t>
  </si>
  <si>
    <r>
      <rPr>
        <sz val="11"/>
        <rFont val="Noto Sans CJK SC"/>
        <family val="2"/>
      </rPr>
      <t xml:space="preserve">高</t>
    </r>
    <r>
      <rPr>
        <sz val="11"/>
        <rFont val="游ゴシック"/>
        <family val="0"/>
        <charset val="1"/>
      </rPr>
      <t xml:space="preserve">CO2</t>
    </r>
    <r>
      <rPr>
        <sz val="11"/>
        <rFont val="Noto Sans CJK SC"/>
        <family val="2"/>
      </rPr>
      <t xml:space="preserve">血症が身体に及ぼす影響は。</t>
    </r>
  </si>
  <si>
    <r>
      <rPr>
        <sz val="11"/>
        <rFont val="Noto Sans CJK SC"/>
        <family val="2"/>
      </rPr>
      <t xml:space="preserve">・交感神経刺激で頻脈・高血圧
・脳血流増加・頭蓋内圧上昇
・不整脈
・呼吸性アシドーシス
・高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血症
・覚醒遅延</t>
    </r>
  </si>
  <si>
    <t xml:space="preserve">過換気の弊害は。</t>
  </si>
  <si>
    <r>
      <rPr>
        <sz val="11"/>
        <rFont val="Noto Sans CJK SC"/>
        <family val="2"/>
      </rPr>
      <t xml:space="preserve">・脳血流低下
・酸素解離曲線の左方移動
・低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血症
・静脈還流低下・心拍出量低下
・気道内圧上昇・無気肺</t>
    </r>
  </si>
  <si>
    <t xml:space="preserve">カプノグラム</t>
  </si>
  <si>
    <t xml:space="preserve">カプノグラムのベースラインが上昇しているときの原因は。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</si>
  <si>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CO2</t>
    </r>
    <r>
      <rPr>
        <sz val="11"/>
        <rFont val="Noto Sans CJK SC"/>
        <family val="2"/>
      </rPr>
      <t xml:space="preserve">の再呼吸
・ソーダライムの消耗
・一方弁の不良
・新鮮ガス流量不足</t>
    </r>
  </si>
  <si>
    <t xml:space="preserve">カプノグラムがシャークフィン型（上行脚がなだらか）になる原因は。</t>
  </si>
  <si>
    <r>
      <rPr>
        <sz val="11"/>
        <rFont val="Noto Sans CJK SC"/>
        <family val="2"/>
      </rPr>
      <t xml:space="preserve">・気管支痙攣
・</t>
    </r>
    <r>
      <rPr>
        <sz val="11"/>
        <rFont val="游ゴシック"/>
        <family val="0"/>
        <charset val="1"/>
      </rPr>
      <t xml:space="preserve">COPD</t>
    </r>
    <r>
      <rPr>
        <sz val="11"/>
        <rFont val="Noto Sans CJK SC"/>
        <family val="2"/>
      </rPr>
      <t xml:space="preserve">・喘息
・チューブの屈曲・分泌物
・カフの位置異常</t>
    </r>
  </si>
  <si>
    <t xml:space="preserve">回路リークを疑うときの確認点は。</t>
  </si>
  <si>
    <r>
      <rPr>
        <sz val="11"/>
        <rFont val="Noto Sans CJK SC"/>
        <family val="2"/>
      </rPr>
      <t xml:space="preserve">・吸気と呼気の換気量の差
・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波形の低下
・カフ圧・カフ破損
・蛇管・接続部・サンプリングライン
・ソーダライム容器
・気道内圧の低下</t>
    </r>
  </si>
  <si>
    <t xml:space="preserve">術後</t>
  </si>
  <si>
    <t xml:space="preserve">術後呼吸器合併症のリスク因子は。</t>
  </si>
  <si>
    <r>
      <rPr>
        <sz val="11"/>
        <rFont val="Noto Sans CJK SC"/>
        <family val="2"/>
      </rPr>
      <t xml:space="preserve">・高齢
・喫煙
・</t>
    </r>
    <r>
      <rPr>
        <sz val="11"/>
        <rFont val="游ゴシック"/>
        <family val="0"/>
        <charset val="1"/>
      </rPr>
      <t xml:space="preserve">COPD</t>
    </r>
    <r>
      <rPr>
        <sz val="11"/>
        <rFont val="Noto Sans CJK SC"/>
        <family val="2"/>
      </rPr>
      <t xml:space="preserve">・喘息
・肥満・睡眠時無呼吸
・上腹部・開胸手術
・長時間手術
・低アルブミン
・筋弛緩薬の残存</t>
    </r>
  </si>
  <si>
    <t xml:space="preserve">併存症</t>
  </si>
  <si>
    <t xml:space="preserve">高血圧</t>
  </si>
  <si>
    <t xml:space="preserve">高血圧患者で術前に継続・中止する降圧薬は。</t>
  </si>
  <si>
    <r>
      <rPr>
        <sz val="11"/>
        <rFont val="Noto Sans CJK SC"/>
        <family val="2"/>
      </rPr>
      <t xml:space="preserve">・継続：</t>
    </r>
    <r>
      <rPr>
        <sz val="11"/>
        <rFont val="游ゴシック"/>
        <family val="0"/>
        <charset val="1"/>
      </rPr>
      <t xml:space="preserve">β</t>
    </r>
    <r>
      <rPr>
        <sz val="11"/>
        <rFont val="Noto Sans CJK SC"/>
        <family val="2"/>
      </rPr>
      <t xml:space="preserve">遮断薬、</t>
    </r>
    <r>
      <rPr>
        <sz val="11"/>
        <rFont val="游ゴシック"/>
        <family val="0"/>
        <charset val="1"/>
      </rPr>
      <t xml:space="preserve">Ca</t>
    </r>
    <r>
      <rPr>
        <sz val="11"/>
        <rFont val="Noto Sans CJK SC"/>
        <family val="2"/>
      </rPr>
      <t xml:space="preserve">拮抗薬
・当日朝は中止：</t>
    </r>
    <r>
      <rPr>
        <sz val="11"/>
        <rFont val="游ゴシック"/>
        <family val="0"/>
        <charset val="1"/>
      </rPr>
      <t xml:space="preserve">ACE</t>
    </r>
    <r>
      <rPr>
        <sz val="11"/>
        <rFont val="Noto Sans CJK SC"/>
        <family val="2"/>
      </rPr>
      <t xml:space="preserve">阻害薬・</t>
    </r>
    <r>
      <rPr>
        <sz val="11"/>
        <rFont val="游ゴシック"/>
        <family val="0"/>
        <charset val="1"/>
      </rPr>
      <t xml:space="preserve">ARB</t>
    </r>
    <r>
      <rPr>
        <sz val="11"/>
        <rFont val="Noto Sans CJK SC"/>
        <family val="2"/>
      </rPr>
      <t xml:space="preserve">（術中の難治性低血圧）
・当日中止：利尿薬
・急な中止による反跳性高血圧に注意</t>
    </r>
  </si>
  <si>
    <t xml:space="preserve">高血圧患者の術中管理の注意点は。</t>
  </si>
  <si>
    <r>
      <rPr>
        <sz val="11"/>
        <rFont val="Noto Sans CJK SC"/>
        <family val="2"/>
      </rPr>
      <t xml:space="preserve">・血圧変動が大きい
・挿管・抜管時の高血圧
・低血圧時の臓器灌流低下（腎・脳）
・普段の血圧の</t>
    </r>
    <r>
      <rPr>
        <sz val="11"/>
        <rFont val="游ゴシック"/>
        <family val="0"/>
        <charset val="1"/>
      </rPr>
      <t xml:space="preserve">±20%</t>
    </r>
    <r>
      <rPr>
        <sz val="11"/>
        <rFont val="Noto Sans CJK SC"/>
        <family val="2"/>
      </rPr>
      <t xml:space="preserve">を目安に維持
・十分な麻酔深度と鎮痛</t>
    </r>
  </si>
  <si>
    <t xml:space="preserve">虚血性心疾患</t>
  </si>
  <si>
    <t xml:space="preserve">術中の心筋虚血を防ぐための管理は。</t>
  </si>
  <si>
    <r>
      <rPr>
        <sz val="11"/>
        <rFont val="Noto Sans CJK SC"/>
        <family val="2"/>
      </rPr>
      <t xml:space="preserve">・頻脈を避ける（最重要）
・血圧を保つ（拡張期血圧）
・貧血を避ける
・十分な鎮痛
・</t>
    </r>
    <r>
      <rPr>
        <sz val="11"/>
        <rFont val="游ゴシック"/>
        <family val="0"/>
        <charset val="1"/>
      </rPr>
      <t xml:space="preserve">β</t>
    </r>
    <r>
      <rPr>
        <sz val="11"/>
        <rFont val="Noto Sans CJK SC"/>
        <family val="2"/>
      </rPr>
      <t xml:space="preserve">遮断薬の継続
・低体温・シバリングを避ける
・</t>
    </r>
    <r>
      <rPr>
        <sz val="11"/>
        <rFont val="游ゴシック"/>
        <family val="0"/>
        <charset val="1"/>
      </rPr>
      <t xml:space="preserve">II</t>
    </r>
    <r>
      <rPr>
        <sz val="11"/>
        <rFont val="Noto Sans CJK SC"/>
        <family val="2"/>
      </rPr>
      <t xml:space="preserve">誘導・</t>
    </r>
    <r>
      <rPr>
        <sz val="11"/>
        <rFont val="游ゴシック"/>
        <family val="0"/>
        <charset val="1"/>
      </rPr>
      <t xml:space="preserve">V5</t>
    </r>
    <r>
      <rPr>
        <sz val="11"/>
        <rFont val="Noto Sans CJK SC"/>
        <family val="2"/>
      </rPr>
      <t xml:space="preserve">で</t>
    </r>
    <r>
      <rPr>
        <sz val="11"/>
        <rFont val="游ゴシック"/>
        <family val="0"/>
        <charset val="1"/>
      </rPr>
      <t xml:space="preserve">ST</t>
    </r>
    <r>
      <rPr>
        <sz val="11"/>
        <rFont val="Noto Sans CJK SC"/>
        <family val="2"/>
      </rPr>
      <t xml:space="preserve">監視</t>
    </r>
  </si>
  <si>
    <r>
      <rPr>
        <sz val="11"/>
        <rFont val="Noto Sans CJK SC"/>
        <family val="2"/>
      </rPr>
      <t xml:space="preserve">術中に心筋虚血（</t>
    </r>
    <r>
      <rPr>
        <sz val="11"/>
        <rFont val="游ゴシック"/>
        <family val="0"/>
        <charset val="1"/>
      </rPr>
      <t xml:space="preserve">ST</t>
    </r>
    <r>
      <rPr>
        <sz val="11"/>
        <rFont val="Noto Sans CJK SC"/>
        <family val="2"/>
      </rPr>
      <t xml:space="preserve">変化）を認めた。対応は。</t>
    </r>
  </si>
  <si>
    <r>
      <rPr>
        <sz val="11"/>
        <rFont val="Noto Sans CJK SC"/>
        <family val="2"/>
      </rPr>
      <t xml:space="preserve">・酸素化・換気の確認
・心拍数を下げる（</t>
    </r>
    <r>
      <rPr>
        <sz val="11"/>
        <rFont val="游ゴシック"/>
        <family val="0"/>
        <charset val="1"/>
      </rPr>
      <t xml:space="preserve">β</t>
    </r>
    <r>
      <rPr>
        <sz val="11"/>
        <rFont val="Noto Sans CJK SC"/>
        <family val="2"/>
      </rPr>
      <t xml:space="preserve">遮断薬）
・血圧を適正化（低ければ昇圧、高ければ降圧）
・硝酸薬
・貧血の補正
・</t>
    </r>
    <r>
      <rPr>
        <sz val="11"/>
        <rFont val="游ゴシック"/>
        <family val="0"/>
        <charset val="1"/>
      </rPr>
      <t xml:space="preserve">12</t>
    </r>
    <r>
      <rPr>
        <sz val="11"/>
        <rFont val="Noto Sans CJK SC"/>
        <family val="2"/>
      </rPr>
      <t xml:space="preserve">誘導心電図・心エコー
・循環器へコンサルト</t>
    </r>
  </si>
  <si>
    <t xml:space="preserve">冠動脈ステント</t>
  </si>
  <si>
    <t xml:space="preserve">ステント留置後の抗血小板薬の周術期管理は。</t>
  </si>
  <si>
    <r>
      <rPr>
        <sz val="11"/>
        <rFont val="Noto Sans CJK SC"/>
        <family val="2"/>
      </rPr>
      <t xml:space="preserve">・アスピリンは原則継続
・</t>
    </r>
    <r>
      <rPr>
        <sz val="11"/>
        <rFont val="游ゴシック"/>
        <family val="0"/>
        <charset val="1"/>
      </rPr>
      <t xml:space="preserve">DAPT</t>
    </r>
    <r>
      <rPr>
        <sz val="11"/>
        <rFont val="Noto Sans CJK SC"/>
        <family val="2"/>
      </rPr>
      <t xml:space="preserve">は待機手術を延期（</t>
    </r>
    <r>
      <rPr>
        <sz val="11"/>
        <rFont val="游ゴシック"/>
        <family val="0"/>
        <charset val="1"/>
      </rPr>
      <t xml:space="preserve">DES</t>
    </r>
    <r>
      <rPr>
        <sz val="11"/>
        <rFont val="Noto Sans CJK SC"/>
        <family val="2"/>
      </rPr>
      <t xml:space="preserve">で</t>
    </r>
    <r>
      <rPr>
        <sz val="11"/>
        <rFont val="游ゴシック"/>
        <family val="0"/>
        <charset val="1"/>
      </rPr>
      <t xml:space="preserve">6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12</t>
    </r>
    <r>
      <rPr>
        <sz val="11"/>
        <rFont val="Noto Sans CJK SC"/>
        <family val="2"/>
      </rPr>
      <t xml:space="preserve">か月、</t>
    </r>
    <r>
      <rPr>
        <sz val="11"/>
        <rFont val="游ゴシック"/>
        <family val="0"/>
        <charset val="1"/>
      </rPr>
      <t xml:space="preserve">BMS</t>
    </r>
    <r>
      <rPr>
        <sz val="11"/>
        <rFont val="Noto Sans CJK SC"/>
        <family val="2"/>
      </rPr>
      <t xml:space="preserve">で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か月以上）
・中止するとステント血栓症のリスク
・緊急時は循環器と相談
・区域麻酔との兼ね合い</t>
    </r>
  </si>
  <si>
    <t xml:space="preserve">心不全</t>
  </si>
  <si>
    <r>
      <rPr>
        <sz val="11"/>
        <rFont val="Noto Sans CJK SC"/>
        <family val="2"/>
      </rPr>
      <t xml:space="preserve">低心機能（低</t>
    </r>
    <r>
      <rPr>
        <sz val="11"/>
        <rFont val="游ゴシック"/>
        <family val="0"/>
        <charset val="1"/>
      </rPr>
      <t xml:space="preserve">EF</t>
    </r>
    <r>
      <rPr>
        <sz val="11"/>
        <rFont val="Noto Sans CJK SC"/>
        <family val="2"/>
      </rPr>
      <t xml:space="preserve">）患者の麻酔の要点は。</t>
    </r>
  </si>
  <si>
    <t xml:space="preserve">・導入薬を少量ずつ緩徐に
・心抑制の強い薬を避ける
・前負荷・後負荷の最適化
・強心薬（ドブタミン）の準備
・過剰輸液を避ける
・観血的動脈圧・心拍出量モニタ
・不整脈の管理</t>
  </si>
  <si>
    <t xml:space="preserve">大動脈弁狭窄症</t>
  </si>
  <si>
    <r>
      <rPr>
        <sz val="11"/>
        <rFont val="Noto Sans CJK SC"/>
        <family val="2"/>
      </rPr>
      <t xml:space="preserve">大動脈弁狭窄症（</t>
    </r>
    <r>
      <rPr>
        <sz val="11"/>
        <rFont val="游ゴシック"/>
        <family val="0"/>
        <charset val="1"/>
      </rPr>
      <t xml:space="preserve">AS</t>
    </r>
    <r>
      <rPr>
        <sz val="11"/>
        <rFont val="Noto Sans CJK SC"/>
        <family val="2"/>
      </rPr>
      <t xml:space="preserve">）の管理原則は。</t>
    </r>
  </si>
  <si>
    <t xml:space="preserve">・洞調律の維持
・頻脈を避ける（拡張期充満・冠灌流）
・前負荷を保つ
・体血管抵抗を維持（フェニレフリン）
・低血圧は速やかに是正
・脊椎麻酔は慎重に</t>
  </si>
  <si>
    <t xml:space="preserve">僧帽弁閉鎖不全症</t>
  </si>
  <si>
    <r>
      <rPr>
        <sz val="11"/>
        <rFont val="Noto Sans CJK SC"/>
        <family val="2"/>
      </rPr>
      <t xml:space="preserve">僧帽弁閉鎖不全症（</t>
    </r>
    <r>
      <rPr>
        <sz val="11"/>
        <rFont val="游ゴシック"/>
        <family val="0"/>
        <charset val="1"/>
      </rPr>
      <t xml:space="preserve">MR</t>
    </r>
    <r>
      <rPr>
        <sz val="11"/>
        <rFont val="Noto Sans CJK SC"/>
        <family val="2"/>
      </rPr>
      <t xml:space="preserve">）の管理原則は。</t>
    </r>
  </si>
  <si>
    <t xml:space="preserve">・やや頻脈を保つ（徐脈は逆流増加）
・後負荷を下げる
・前負荷は維持
・高血圧を避ける
・心房細動のレート管理</t>
  </si>
  <si>
    <t xml:space="preserve">心房細動</t>
  </si>
  <si>
    <t xml:space="preserve">術中の心房細動への対応は。</t>
  </si>
  <si>
    <r>
      <rPr>
        <sz val="11"/>
        <rFont val="Noto Sans CJK SC"/>
        <family val="2"/>
      </rPr>
      <t xml:space="preserve">・循環不安定なら同期電気ショック
・レートコントロール（ランジオロール、ジルチアゼム）
・電解質（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、</t>
    </r>
    <r>
      <rPr>
        <sz val="11"/>
        <rFont val="游ゴシック"/>
        <family val="0"/>
        <charset val="1"/>
      </rPr>
      <t xml:space="preserve">Mg</t>
    </r>
    <r>
      <rPr>
        <sz val="11"/>
        <rFont val="Noto Sans CJK SC"/>
        <family val="2"/>
      </rPr>
      <t xml:space="preserve">）補正
・甲状腺・虚血の評価
・抗凝固薬の休薬と再開の確認</t>
    </r>
  </si>
  <si>
    <t xml:space="preserve">ペースメーカー</t>
  </si>
  <si>
    <r>
      <rPr>
        <sz val="11"/>
        <rFont val="Noto Sans CJK SC"/>
        <family val="2"/>
      </rPr>
      <t xml:space="preserve">ペースメーカー・</t>
    </r>
    <r>
      <rPr>
        <sz val="11"/>
        <rFont val="游ゴシック"/>
        <family val="0"/>
        <charset val="1"/>
      </rPr>
      <t xml:space="preserve">ICD</t>
    </r>
    <r>
      <rPr>
        <sz val="11"/>
        <rFont val="Noto Sans CJK SC"/>
        <family val="2"/>
      </rPr>
      <t xml:space="preserve">植込み患者の周術期管理は。</t>
    </r>
  </si>
  <si>
    <r>
      <rPr>
        <sz val="11"/>
        <rFont val="Noto Sans CJK SC"/>
        <family val="2"/>
      </rPr>
      <t xml:space="preserve">・機種・設定・ペースメーカー依存の有無を確認
・電気メスは短く・バイポーラを推奨
・対極板は植込み部から離す
・必要なら磁石で非同期モード
・</t>
    </r>
    <r>
      <rPr>
        <sz val="11"/>
        <rFont val="游ゴシック"/>
        <family val="0"/>
        <charset val="1"/>
      </rPr>
      <t xml:space="preserve">ICD</t>
    </r>
    <r>
      <rPr>
        <sz val="11"/>
        <rFont val="Noto Sans CJK SC"/>
        <family val="2"/>
      </rPr>
      <t xml:space="preserve">は頻拍治療をオフにし、体外式除細動パッドを貼付
・術後に設定を確認・再開</t>
    </r>
  </si>
  <si>
    <t xml:space="preserve">COPD</t>
  </si>
  <si>
    <r>
      <rPr>
        <sz val="11"/>
        <rFont val="游ゴシック"/>
        <family val="0"/>
        <charset val="1"/>
      </rPr>
      <t xml:space="preserve">COPD</t>
    </r>
    <r>
      <rPr>
        <sz val="11"/>
        <rFont val="Noto Sans CJK SC"/>
        <family val="2"/>
      </rPr>
      <t xml:space="preserve">患者の周術期の注意点は。</t>
    </r>
  </si>
  <si>
    <r>
      <rPr>
        <sz val="11"/>
        <rFont val="Noto Sans CJK SC"/>
        <family val="2"/>
      </rPr>
      <t xml:space="preserve">・術前の禁煙・気管支拡張薬・呼吸リハ
・</t>
    </r>
    <r>
      <rPr>
        <sz val="11"/>
        <rFont val="游ゴシック"/>
        <family val="0"/>
        <charset val="1"/>
      </rPr>
      <t xml:space="preserve">auto-PEEP</t>
    </r>
    <r>
      <rPr>
        <sz val="11"/>
        <rFont val="Noto Sans CJK SC"/>
        <family val="2"/>
      </rPr>
      <t xml:space="preserve">と気道内圧上昇
・呼気時間を長くとる
・術後の無気肺・肺炎
・硬膜外併用で早期離床
・高濃度酸素での</t>
    </r>
    <r>
      <rPr>
        <sz val="11"/>
        <rFont val="游ゴシック"/>
        <family val="0"/>
        <charset val="1"/>
      </rPr>
      <t xml:space="preserve">CO2</t>
    </r>
    <r>
      <rPr>
        <sz val="11"/>
        <rFont val="Noto Sans CJK SC"/>
        <family val="2"/>
      </rPr>
      <t xml:space="preserve">ナルコーシス</t>
    </r>
  </si>
  <si>
    <t xml:space="preserve">喘息</t>
  </si>
  <si>
    <t xml:space="preserve">喘息患者の気管支痙攣を予防する工夫は。</t>
  </si>
  <si>
    <r>
      <rPr>
        <sz val="11"/>
        <rFont val="Noto Sans CJK SC"/>
        <family val="2"/>
      </rPr>
      <t xml:space="preserve">・術前に</t>
    </r>
    <r>
      <rPr>
        <sz val="11"/>
        <rFont val="游ゴシック"/>
        <family val="0"/>
        <charset val="1"/>
      </rPr>
      <t xml:space="preserve">β2</t>
    </r>
    <r>
      <rPr>
        <sz val="11"/>
        <rFont val="Noto Sans CJK SC"/>
        <family val="2"/>
      </rPr>
      <t xml:space="preserve">刺激薬吸入・ステロイド
・十分な麻酔深度で挿管
・セボフルラン・プロポフォール・ケタミン
・可能ならラリンジアルマスク
・ヒスタミン遊離薬・</t>
    </r>
    <r>
      <rPr>
        <sz val="11"/>
        <rFont val="游ゴシック"/>
        <family val="0"/>
        <charset val="1"/>
      </rPr>
      <t xml:space="preserve">NSAIDs</t>
    </r>
    <r>
      <rPr>
        <sz val="11"/>
        <rFont val="Noto Sans CJK SC"/>
        <family val="2"/>
      </rPr>
      <t xml:space="preserve">（アスピリン喘息）を避ける
・抜管は深麻酔下も検討</t>
    </r>
  </si>
  <si>
    <t xml:space="preserve">睡眠時無呼吸</t>
  </si>
  <si>
    <r>
      <rPr>
        <sz val="11"/>
        <rFont val="Noto Sans CJK SC"/>
        <family val="2"/>
      </rPr>
      <t xml:space="preserve">睡眠時無呼吸（</t>
    </r>
    <r>
      <rPr>
        <sz val="11"/>
        <rFont val="游ゴシック"/>
        <family val="0"/>
        <charset val="1"/>
      </rPr>
      <t xml:space="preserve">OSA</t>
    </r>
    <r>
      <rPr>
        <sz val="11"/>
        <rFont val="Noto Sans CJK SC"/>
        <family val="2"/>
      </rPr>
      <t xml:space="preserve">）患者の注意点は。</t>
    </r>
  </si>
  <si>
    <r>
      <rPr>
        <sz val="11"/>
        <rFont val="Noto Sans CJK SC"/>
        <family val="2"/>
      </rPr>
      <t xml:space="preserve">・マスク換気・挿管困難
・鎮静薬・オピオイドへの感受性が高い
・術後の上気道閉塞・低酸素
・完全覚醒を確認して抜管
・頭高位・側臥位
・術後</t>
    </r>
    <r>
      <rPr>
        <sz val="11"/>
        <rFont val="游ゴシック"/>
        <family val="0"/>
        <charset val="1"/>
      </rPr>
      <t xml:space="preserve">CPAP</t>
    </r>
    <r>
      <rPr>
        <sz val="11"/>
        <rFont val="Noto Sans CJK SC"/>
        <family val="2"/>
      </rPr>
      <t xml:space="preserve">の継続
・術後モニタリング</t>
    </r>
  </si>
  <si>
    <t xml:space="preserve">肥満</t>
  </si>
  <si>
    <t xml:space="preserve">肥満患者の麻酔の注意点は。</t>
  </si>
  <si>
    <r>
      <rPr>
        <sz val="11"/>
        <rFont val="Noto Sans CJK SC"/>
        <family val="2"/>
      </rPr>
      <t xml:space="preserve">・予備能低下で脱飽和が速い
・</t>
    </r>
    <r>
      <rPr>
        <sz val="11"/>
        <rFont val="游ゴシック"/>
        <family val="0"/>
        <charset val="1"/>
      </rPr>
      <t xml:space="preserve">ramp position</t>
    </r>
    <r>
      <rPr>
        <sz val="11"/>
        <rFont val="Noto Sans CJK SC"/>
        <family val="2"/>
      </rPr>
      <t xml:space="preserve">（外耳孔と胸骨切痕を水平に）
・十分な前酸素化・</t>
    </r>
    <r>
      <rPr>
        <sz val="11"/>
        <rFont val="游ゴシック"/>
        <family val="0"/>
        <charset val="1"/>
      </rPr>
      <t xml:space="preserve">PEEP
</t>
    </r>
    <r>
      <rPr>
        <sz val="11"/>
        <rFont val="Noto Sans CJK SC"/>
        <family val="2"/>
      </rPr>
      <t xml:space="preserve">・マスク換気</t>
    </r>
    <r>
      <rPr>
        <sz val="11"/>
        <rFont val="游ゴシック"/>
        <family val="0"/>
        <charset val="1"/>
      </rPr>
      <t xml:space="preserve">/</t>
    </r>
    <r>
      <rPr>
        <sz val="11"/>
        <rFont val="Noto Sans CJK SC"/>
        <family val="2"/>
      </rPr>
      <t xml:space="preserve">挿管困難
・逆流・誤嚥
・薬用量は体重の種類を使い分け
・静脈血栓塞栓症
・術後の呼吸管理</t>
    </r>
  </si>
  <si>
    <t xml:space="preserve">糖尿病</t>
  </si>
  <si>
    <t xml:space="preserve">糖尿病患者の術中血糖管理は。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</si>
  <si>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</t>
    </r>
    <r>
      <rPr>
        <sz val="11"/>
        <rFont val="Noto Sans CJK SC"/>
        <family val="2"/>
      </rPr>
      <t xml:space="preserve">時間ごとに血糖測定
・目標 </t>
    </r>
    <r>
      <rPr>
        <sz val="11"/>
        <rFont val="游ゴシック"/>
        <family val="0"/>
        <charset val="1"/>
      </rPr>
      <t xml:space="preserve">140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180mg/dL
</t>
    </r>
    <r>
      <rPr>
        <sz val="11"/>
        <rFont val="Noto Sans CJK SC"/>
        <family val="2"/>
      </rPr>
      <t xml:space="preserve">・低血糖を最も避ける
・インスリンは持続静注で調整
・経口血糖降下薬は当日中止（</t>
    </r>
    <r>
      <rPr>
        <sz val="11"/>
        <rFont val="游ゴシック"/>
        <family val="0"/>
        <charset val="1"/>
      </rPr>
      <t xml:space="preserve">SGLT2</t>
    </r>
    <r>
      <rPr>
        <sz val="11"/>
        <rFont val="Noto Sans CJK SC"/>
        <family val="2"/>
      </rPr>
      <t xml:space="preserve">阻害薬は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日前から）</t>
    </r>
  </si>
  <si>
    <t xml:space="preserve">糖尿病患者に特有の周術期リスクは。</t>
  </si>
  <si>
    <r>
      <rPr>
        <sz val="11"/>
        <rFont val="Noto Sans CJK SC"/>
        <family val="2"/>
      </rPr>
      <t xml:space="preserve">・自律神経障害（血圧変動、無症候性心筋虚血、胃内容停滞）
・感染・創傷治癒遅延
・腎機能低下
・挿管困難（</t>
    </r>
    <r>
      <rPr>
        <sz val="11"/>
        <rFont val="游ゴシック"/>
        <family val="0"/>
        <charset val="1"/>
      </rPr>
      <t xml:space="preserve">stiff joint syndrome</t>
    </r>
    <r>
      <rPr>
        <sz val="11"/>
        <rFont val="Noto Sans CJK SC"/>
        <family val="2"/>
      </rPr>
      <t xml:space="preserve">）
・</t>
    </r>
    <r>
      <rPr>
        <sz val="11"/>
        <rFont val="游ゴシック"/>
        <family val="0"/>
        <charset val="1"/>
      </rPr>
      <t xml:space="preserve">SGLT2</t>
    </r>
    <r>
      <rPr>
        <sz val="11"/>
        <rFont val="Noto Sans CJK SC"/>
        <family val="2"/>
      </rPr>
      <t xml:space="preserve">阻害薬による正常血糖ケトアシドーシス</t>
    </r>
  </si>
  <si>
    <t xml:space="preserve">慢性腎臓病</t>
  </si>
  <si>
    <t xml:space="preserve">透析患者の周術期管理の注意点は。</t>
  </si>
  <si>
    <r>
      <rPr>
        <sz val="11"/>
        <rFont val="Noto Sans CJK SC"/>
        <family val="2"/>
      </rPr>
      <t xml:space="preserve">・前日に透析（当日は避ける）
・術前の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値を確認
・シャント肢での血圧測定・穿刺を避ける
・腎排泄薬（モルヒネ、一部の筋弛緩薬）の蓄積
・スガマデクスの排泄遅延
・貧血・血小板機能低下
・過剰輸液で肺水腫
・</t>
    </r>
    <r>
      <rPr>
        <sz val="11"/>
        <rFont val="游ゴシック"/>
        <family val="0"/>
        <charset val="1"/>
      </rPr>
      <t xml:space="preserve">NSAIDs</t>
    </r>
    <r>
      <rPr>
        <sz val="11"/>
        <rFont val="Noto Sans CJK SC"/>
        <family val="2"/>
      </rPr>
      <t xml:space="preserve">・造影剤を避ける</t>
    </r>
  </si>
  <si>
    <t xml:space="preserve">肝硬変</t>
  </si>
  <si>
    <t xml:space="preserve">肝硬変患者の麻酔の注意点は。</t>
  </si>
  <si>
    <t xml:space="preserve">・凝固障害・血小板減少
・低アルブミン血症（薬の遊離型増加）
・腹水・食道静脈瘤
・薬物代謝の遷延
・肝血流の維持（低血圧・過換気を避ける）
・低血糖
・肝性脳症
・術後の肝不全・腎不全</t>
  </si>
  <si>
    <t xml:space="preserve">甲状腺機能亢進症</t>
  </si>
  <si>
    <t xml:space="preserve">甲状腺機能亢進症の周術期の注意点は。</t>
  </si>
  <si>
    <r>
      <rPr>
        <sz val="11"/>
        <rFont val="Noto Sans CJK SC"/>
        <family val="2"/>
      </rPr>
      <t xml:space="preserve">・コントロール不良なら待機手術を延期
・</t>
    </r>
    <r>
      <rPr>
        <sz val="11"/>
        <rFont val="游ゴシック"/>
        <family val="0"/>
        <charset val="1"/>
      </rPr>
      <t xml:space="preserve">β</t>
    </r>
    <r>
      <rPr>
        <sz val="11"/>
        <rFont val="Noto Sans CJK SC"/>
        <family val="2"/>
      </rPr>
      <t xml:space="preserve">遮断薬・抗甲状腺薬の継続
・甲状腺クリーゼ（発熱、頻脈、意識障害、心不全）
・交感神経刺激薬・抗コリン薬は控えめ
・十分な麻酔深度</t>
    </r>
  </si>
  <si>
    <t xml:space="preserve">甲状腺機能低下症</t>
  </si>
  <si>
    <t xml:space="preserve">甲状腺機能低下症の周術期の注意点は。</t>
  </si>
  <si>
    <r>
      <rPr>
        <sz val="11"/>
        <rFont val="Noto Sans CJK SC"/>
        <family val="2"/>
      </rPr>
      <t xml:space="preserve">・麻酔薬への感受性亢進
・徐脈・低血圧・心拍出量低下
・低体温
・覚醒遅延
・腸管蠕動低下・イレウス
・低</t>
    </r>
    <r>
      <rPr>
        <sz val="11"/>
        <rFont val="游ゴシック"/>
        <family val="0"/>
        <charset val="1"/>
      </rPr>
      <t xml:space="preserve">Na</t>
    </r>
    <r>
      <rPr>
        <sz val="11"/>
        <rFont val="Noto Sans CJK SC"/>
        <family val="2"/>
      </rPr>
      <t xml:space="preserve">血症
・粘液水腫昏睡</t>
    </r>
  </si>
  <si>
    <t xml:space="preserve">副腎・ステロイド</t>
  </si>
  <si>
    <t xml:space="preserve">ステロイド長期内服患者の周術期対応は。</t>
  </si>
  <si>
    <r>
      <rPr>
        <sz val="11"/>
        <rFont val="Noto Sans CJK SC"/>
        <family val="2"/>
      </rPr>
      <t xml:space="preserve">・副腎不全のリスク
・ステロイドカバー（ヒドロコルチゾン </t>
    </r>
    <r>
      <rPr>
        <sz val="11"/>
        <rFont val="游ゴシック"/>
        <family val="0"/>
        <charset val="1"/>
      </rPr>
      <t xml:space="preserve">50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100mg</t>
    </r>
    <r>
      <rPr>
        <sz val="11"/>
        <rFont val="Noto Sans CJK SC"/>
        <family val="2"/>
      </rPr>
      <t xml:space="preserve">など手術侵襲に応じて）
・原因不明の低血圧では副腎不全を疑う
・低</t>
    </r>
    <r>
      <rPr>
        <sz val="11"/>
        <rFont val="游ゴシック"/>
        <family val="0"/>
        <charset val="1"/>
      </rPr>
      <t xml:space="preserve">Na</t>
    </r>
    <r>
      <rPr>
        <sz val="11"/>
        <rFont val="Noto Sans CJK SC"/>
        <family val="2"/>
      </rPr>
      <t xml:space="preserve">・高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・低血糖
・易感染・皮膚脆弱</t>
    </r>
  </si>
  <si>
    <t xml:space="preserve">褐色細胞腫</t>
  </si>
  <si>
    <t xml:space="preserve">褐色細胞腫の周術期管理は。</t>
  </si>
  <si>
    <r>
      <rPr>
        <sz val="11"/>
        <rFont val="Noto Sans CJK SC"/>
        <family val="2"/>
      </rPr>
      <t xml:space="preserve">・術前の</t>
    </r>
    <r>
      <rPr>
        <sz val="11"/>
        <rFont val="游ゴシック"/>
        <family val="0"/>
        <charset val="1"/>
      </rPr>
      <t xml:space="preserve">α</t>
    </r>
    <r>
      <rPr>
        <sz val="11"/>
        <rFont val="Noto Sans CJK SC"/>
        <family val="2"/>
      </rPr>
      <t xml:space="preserve">遮断薬（数週間）と輸液負荷
・腫瘍操作時の高血圧クリーゼ（ニカルジピン、フェントラミン、ニトロプルシド）
・頻脈には</t>
    </r>
    <r>
      <rPr>
        <sz val="11"/>
        <rFont val="游ゴシック"/>
        <family val="0"/>
        <charset val="1"/>
      </rPr>
      <t xml:space="preserve">β</t>
    </r>
    <r>
      <rPr>
        <sz val="11"/>
        <rFont val="Noto Sans CJK SC"/>
        <family val="2"/>
      </rPr>
      <t xml:space="preserve">遮断薬（</t>
    </r>
    <r>
      <rPr>
        <sz val="11"/>
        <rFont val="游ゴシック"/>
        <family val="0"/>
        <charset val="1"/>
      </rPr>
      <t xml:space="preserve">α</t>
    </r>
    <r>
      <rPr>
        <sz val="11"/>
        <rFont val="Noto Sans CJK SC"/>
        <family val="2"/>
      </rPr>
      <t xml:space="preserve">遮断後に）
・腫瘍摘出後の低血圧（輸液、ノルアドレナリン）
・術後の低血糖</t>
    </r>
  </si>
  <si>
    <t xml:space="preserve">脳血管障害</t>
  </si>
  <si>
    <t xml:space="preserve">脳梗塞の既往がある患者の術中管理は。</t>
  </si>
  <si>
    <t xml:space="preserve">・血圧は高めに維持（自動調節能が右方偏位）
・極端な過換気を避ける
・貧血・低酸素を避ける
・頸部の過度な回旋・伸展を避ける
・抗血小板薬の休薬期間
・術後の神経症状の評価</t>
  </si>
  <si>
    <t xml:space="preserve">てんかん</t>
  </si>
  <si>
    <t xml:space="preserve">てんかん患者の周術期の注意点は。</t>
  </si>
  <si>
    <r>
      <rPr>
        <sz val="11"/>
        <rFont val="Noto Sans CJK SC"/>
        <family val="2"/>
      </rPr>
      <t xml:space="preserve">・抗てんかん薬を当日朝まで継続し、早期に再開
・術中・術後のけいれん
・酵素誘導により筋弛緩薬の必要量が増える
・けいれん閾値を下げうる薬に注意
・低</t>
    </r>
    <r>
      <rPr>
        <sz val="11"/>
        <rFont val="游ゴシック"/>
        <family val="0"/>
        <charset val="1"/>
      </rPr>
      <t xml:space="preserve">Na</t>
    </r>
    <r>
      <rPr>
        <sz val="11"/>
        <rFont val="Noto Sans CJK SC"/>
        <family val="2"/>
      </rPr>
      <t xml:space="preserve">・低血糖・アルコール離脱の鑑別</t>
    </r>
  </si>
  <si>
    <t xml:space="preserve">パーキンソン病</t>
  </si>
  <si>
    <t xml:space="preserve">パーキンソン病患者の注意点は。</t>
  </si>
  <si>
    <t xml:space="preserve">・レボドパを直前まで継続（半減期が短い、中断で悪性症候群）
・禁忌薬：ドロペリドール、メトクロプラミド、抗精神病薬
・嚥下障害・誤嚥
・呼吸筋障害・術後呼吸不全
・起立性低血圧・自律神経障害
・経鼻胃管などで早期に内服再開</t>
  </si>
  <si>
    <t xml:space="preserve">重症筋無力症</t>
  </si>
  <si>
    <t xml:space="preserve">重症筋無力症の患者の麻酔の注意点は。</t>
  </si>
  <si>
    <r>
      <rPr>
        <sz val="11"/>
        <rFont val="Noto Sans CJK SC"/>
        <family val="2"/>
      </rPr>
      <t xml:space="preserve">・非脱分極性筋弛緩薬に高感受性（減量または不使用）
・</t>
    </r>
    <r>
      <rPr>
        <sz val="11"/>
        <rFont val="游ゴシック"/>
        <family val="0"/>
        <charset val="1"/>
      </rPr>
      <t xml:space="preserve">TOF</t>
    </r>
    <r>
      <rPr>
        <sz val="11"/>
        <rFont val="Noto Sans CJK SC"/>
        <family val="2"/>
      </rPr>
      <t xml:space="preserve">モニタ必須
・スガマデクスが有用
・抗コリンエステラーゼ薬の継続
・術後の呼吸不全・再挿管
・筋無力症クリーゼとコリン作動性クリーゼの鑑別</t>
    </r>
  </si>
  <si>
    <t xml:space="preserve">関節リウマチ</t>
  </si>
  <si>
    <t xml:space="preserve">関節リウマチ患者の気道管理の注意点は。</t>
  </si>
  <si>
    <t xml:space="preserve">・環軸椎亜脱臼（頸部の愛護的操作、ビデオ喉頭鏡）
・開口制限・顎関節障害
・輪状披裂関節炎（嗄声、術後の気道狭窄）
・ステロイドカバー
・貧血・薬剤性の骨髄抑制
・皮膚・関節の保護</t>
  </si>
  <si>
    <t xml:space="preserve">高齢者</t>
  </si>
  <si>
    <t xml:space="preserve">高齢者の麻酔で注意することは。</t>
  </si>
  <si>
    <t xml:space="preserve">・麻酔薬の必要量減少
・循環予備能・圧受容体反射の低下
・低体温になりやすい
・術後せん妄（ベンゾジアゼピンを避ける、疼痛管理、早期離床）
・誤嚥・術後肺炎
・腎・肝機能低下
・皮膚・関節の脆弱性</t>
  </si>
  <si>
    <t xml:space="preserve">認知症</t>
  </si>
  <si>
    <t xml:space="preserve">認知症患者の周術期の注意点は。</t>
  </si>
  <si>
    <t xml:space="preserve">・術後せん妄・認知機能低下
・ベンゾジアゼピン・抗コリン薬を避ける
・疼痛評価が困難
・不穏による自己抜管・転倒
・家族・環境調整、早期離床
・誤嚥</t>
  </si>
  <si>
    <t xml:space="preserve">貧血</t>
  </si>
  <si>
    <t xml:space="preserve">術前貧血への対応と術中の注意点は。</t>
  </si>
  <si>
    <r>
      <rPr>
        <sz val="11"/>
        <rFont val="Noto Sans CJK SC"/>
        <family val="2"/>
      </rPr>
      <t xml:space="preserve">・術前に原因検索と鉄剤・エリスロポエチン
・酸素運搬能の低下
・頻脈・心筋虚血
・輸血トリガーは</t>
    </r>
    <r>
      <rPr>
        <sz val="11"/>
        <rFont val="游ゴシック"/>
        <family val="0"/>
        <charset val="1"/>
      </rPr>
      <t xml:space="preserve">Hb 7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8g/dL
</t>
    </r>
    <r>
      <rPr>
        <sz val="11"/>
        <rFont val="Noto Sans CJK SC"/>
        <family val="2"/>
      </rPr>
      <t xml:space="preserve">・出血量の予測と輸血準備</t>
    </r>
  </si>
  <si>
    <t xml:space="preserve">抗血栓薬</t>
  </si>
  <si>
    <r>
      <rPr>
        <sz val="11"/>
        <rFont val="Noto Sans CJK SC"/>
        <family val="2"/>
      </rPr>
      <t xml:space="preserve">ワルファリン・</t>
    </r>
    <r>
      <rPr>
        <sz val="11"/>
        <rFont val="游ゴシック"/>
        <family val="0"/>
        <charset val="1"/>
      </rPr>
      <t xml:space="preserve">DOAC</t>
    </r>
    <r>
      <rPr>
        <sz val="11"/>
        <rFont val="Noto Sans CJK SC"/>
        <family val="2"/>
      </rPr>
      <t xml:space="preserve">の周術期の休薬は。</t>
    </r>
  </si>
  <si>
    <r>
      <rPr>
        <sz val="11"/>
        <rFont val="Noto Sans CJK SC"/>
        <family val="2"/>
      </rPr>
      <t xml:space="preserve">・ワルファリン：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5</t>
    </r>
    <r>
      <rPr>
        <sz val="11"/>
        <rFont val="Noto Sans CJK SC"/>
        <family val="2"/>
      </rPr>
      <t xml:space="preserve">日前中止、必要ならヘパリン置換、</t>
    </r>
    <r>
      <rPr>
        <sz val="11"/>
        <rFont val="游ゴシック"/>
        <family val="0"/>
        <charset val="1"/>
      </rPr>
      <t xml:space="preserve">PT-INR</t>
    </r>
    <r>
      <rPr>
        <sz val="11"/>
        <rFont val="Noto Sans CJK SC"/>
        <family val="2"/>
      </rPr>
      <t xml:space="preserve">で確認
・</t>
    </r>
    <r>
      <rPr>
        <sz val="11"/>
        <rFont val="游ゴシック"/>
        <family val="0"/>
        <charset val="1"/>
      </rPr>
      <t xml:space="preserve">DOAC</t>
    </r>
    <r>
      <rPr>
        <sz val="11"/>
        <rFont val="Noto Sans CJK SC"/>
        <family val="2"/>
      </rPr>
      <t xml:space="preserve">：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</t>
    </r>
    <r>
      <rPr>
        <sz val="11"/>
        <rFont val="Noto Sans CJK SC"/>
        <family val="2"/>
      </rPr>
      <t xml:space="preserve">日前中止（腎機能で延長）
・緊急拮抗：ビタミン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、</t>
    </r>
    <r>
      <rPr>
        <sz val="11"/>
        <rFont val="游ゴシック"/>
        <family val="0"/>
        <charset val="1"/>
      </rPr>
      <t xml:space="preserve">PCC</t>
    </r>
    <r>
      <rPr>
        <sz val="11"/>
        <rFont val="Noto Sans CJK SC"/>
        <family val="2"/>
      </rPr>
      <t xml:space="preserve">、イダルシズマブ
・区域麻酔は休薬期間を厳守（脊髄血腫）</t>
    </r>
  </si>
  <si>
    <t xml:space="preserve">妊娠</t>
  </si>
  <si>
    <t xml:space="preserve">妊婦の非産科手術の注意点は。</t>
  </si>
  <si>
    <t xml:space="preserve">・誤嚥のリスク（迅速導入）
・仰臥位低血圧症候群（子宮左方転位）
・機能的残気量低下で脱飽和が速い
・気道浮腫で挿管困難
・低血圧はフェニレフリンで是正
・胎児心拍モニタ・早産
・可能なら妊娠中期に、放射線被曝を最小化</t>
  </si>
  <si>
    <t xml:space="preserve">小児</t>
  </si>
  <si>
    <t xml:space="preserve">小児麻酔の注意点は。</t>
  </si>
  <si>
    <r>
      <rPr>
        <sz val="11"/>
        <rFont val="Noto Sans CJK SC"/>
        <family val="2"/>
      </rPr>
      <t xml:space="preserve">・体重あたりの薬用量
・気道が細く浮腫の影響が大きい
・喉頭痙攣
・酸素消費量が多く脱飽和が速い
・低体温になりやすい
・絶飲食：清澄水</t>
    </r>
    <r>
      <rPr>
        <sz val="11"/>
        <rFont val="游ゴシック"/>
        <family val="0"/>
        <charset val="1"/>
      </rPr>
      <t xml:space="preserve">2</t>
    </r>
    <r>
      <rPr>
        <sz val="11"/>
        <rFont val="Noto Sans CJK SC"/>
        <family val="2"/>
      </rPr>
      <t xml:space="preserve">時間、母乳</t>
    </r>
    <r>
      <rPr>
        <sz val="11"/>
        <rFont val="游ゴシック"/>
        <family val="0"/>
        <charset val="1"/>
      </rPr>
      <t xml:space="preserve">4</t>
    </r>
    <r>
      <rPr>
        <sz val="11"/>
        <rFont val="Noto Sans CJK SC"/>
        <family val="2"/>
      </rPr>
      <t xml:space="preserve">時間、固形</t>
    </r>
    <r>
      <rPr>
        <sz val="11"/>
        <rFont val="游ゴシック"/>
        <family val="0"/>
        <charset val="1"/>
      </rPr>
      <t xml:space="preserve">6</t>
    </r>
    <r>
      <rPr>
        <sz val="11"/>
        <rFont val="Noto Sans CJK SC"/>
        <family val="2"/>
      </rPr>
      <t xml:space="preserve">時間
・術前不安・親の付き添い</t>
    </r>
  </si>
  <si>
    <t xml:space="preserve">誤嚥</t>
  </si>
  <si>
    <t xml:space="preserve">誤嚥のリスクが高い患者と対策は。</t>
  </si>
  <si>
    <t xml:space="preserve">・緊急手術・フルストマック
・イレウス・腹腔内圧上昇
・妊婦
・肥満・胃食道逆流
・糖尿病性胃不全麻痺
・対策：迅速導入、胃管、頭高位、制酸薬、覚醒後の抜管</t>
  </si>
  <si>
    <t xml:space="preserve">アルコール</t>
  </si>
  <si>
    <t xml:space="preserve">アルコール多飲者の周術期の注意点は。</t>
  </si>
  <si>
    <r>
      <rPr>
        <sz val="11"/>
        <rFont val="Noto Sans CJK SC"/>
        <family val="2"/>
      </rPr>
      <t xml:space="preserve">・麻酔薬の必要量増加（耐性）
・術後の離脱症状（</t>
    </r>
    <r>
      <rPr>
        <sz val="11"/>
        <rFont val="游ゴシック"/>
        <family val="0"/>
        <charset val="1"/>
      </rPr>
      <t xml:space="preserve">48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72</t>
    </r>
    <r>
      <rPr>
        <sz val="11"/>
        <rFont val="Noto Sans CJK SC"/>
        <family val="2"/>
      </rPr>
      <t xml:space="preserve">時間）
・肝障害・凝固異常・低血糖
・ビタミン</t>
    </r>
    <r>
      <rPr>
        <sz val="11"/>
        <rFont val="游ゴシック"/>
        <family val="0"/>
        <charset val="1"/>
      </rPr>
      <t xml:space="preserve">B1</t>
    </r>
    <r>
      <rPr>
        <sz val="11"/>
        <rFont val="Noto Sans CJK SC"/>
        <family val="2"/>
      </rPr>
      <t xml:space="preserve">欠乏（</t>
    </r>
    <r>
      <rPr>
        <sz val="11"/>
        <rFont val="游ゴシック"/>
        <family val="0"/>
        <charset val="1"/>
      </rPr>
      <t xml:space="preserve">Wernicke</t>
    </r>
    <r>
      <rPr>
        <sz val="11"/>
        <rFont val="Noto Sans CJK SC"/>
        <family val="2"/>
      </rPr>
      <t xml:space="preserve">脳症）
・アルコール性心筋症
・電解質異常（低</t>
    </r>
    <r>
      <rPr>
        <sz val="11"/>
        <rFont val="游ゴシック"/>
        <family val="0"/>
        <charset val="1"/>
      </rPr>
      <t xml:space="preserve">Mg</t>
    </r>
    <r>
      <rPr>
        <sz val="11"/>
        <rFont val="Noto Sans CJK SC"/>
        <family val="2"/>
      </rPr>
      <t xml:space="preserve">、低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）</t>
    </r>
  </si>
  <si>
    <t xml:space="preserve">喫煙</t>
  </si>
  <si>
    <t xml:space="preserve">喫煙者の周術期リスクと禁煙の目安は。</t>
  </si>
  <si>
    <r>
      <rPr>
        <sz val="11"/>
        <rFont val="Noto Sans CJK SC"/>
        <family val="2"/>
      </rPr>
      <t xml:space="preserve">・気道過敏性亢進・分泌物増加
・術後の無気肺・肺炎
・創傷治癒遅延
・</t>
    </r>
    <r>
      <rPr>
        <sz val="11"/>
        <rFont val="游ゴシック"/>
        <family val="0"/>
        <charset val="1"/>
      </rPr>
      <t xml:space="preserve">24</t>
    </r>
    <r>
      <rPr>
        <sz val="11"/>
        <rFont val="Noto Sans CJK SC"/>
        <family val="2"/>
      </rPr>
      <t xml:space="preserve">時間で一酸化炭素ヘモグロビンが低下
・理想は</t>
    </r>
    <r>
      <rPr>
        <sz val="11"/>
        <rFont val="游ゴシック"/>
        <family val="0"/>
        <charset val="1"/>
      </rPr>
      <t xml:space="preserve">4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8</t>
    </r>
    <r>
      <rPr>
        <sz val="11"/>
        <rFont val="Noto Sans CJK SC"/>
        <family val="2"/>
      </rPr>
      <t xml:space="preserve">週間前からの禁煙</t>
    </r>
  </si>
  <si>
    <t xml:space="preserve">悪性高熱</t>
  </si>
  <si>
    <t xml:space="preserve">悪性高熱素因のある患者の麻酔準備は。</t>
  </si>
  <si>
    <r>
      <rPr>
        <sz val="11"/>
        <rFont val="Noto Sans CJK SC"/>
        <family val="2"/>
      </rPr>
      <t xml:space="preserve">・揮発性麻酔薬とスキサメトニウムを使わない（</t>
    </r>
    <r>
      <rPr>
        <sz val="11"/>
        <rFont val="游ゴシック"/>
        <family val="0"/>
        <charset val="1"/>
      </rPr>
      <t xml:space="preserve">TIVA</t>
    </r>
    <r>
      <rPr>
        <sz val="11"/>
        <rFont val="Noto Sans CJK SC"/>
        <family val="2"/>
      </rPr>
      <t xml:space="preserve">）
・蒸発器を外し、新しい回路・ソーダライムに交換、麻酔器を十分にフラッシュ
・ダントロレンの準備
・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・体温・心拍数を厳重に監視
・局所麻酔薬は使用可</t>
    </r>
  </si>
  <si>
    <t xml:space="preserve">アレルギー</t>
  </si>
  <si>
    <t xml:space="preserve">周術期アナフィラキシーの原因薬として多いものは。</t>
  </si>
  <si>
    <t xml:space="preserve">・筋弛緩薬（ロクロニウムなど）
・抗菌薬
・ラテックス
・造影剤
・消毒薬（クロルヘキシジン）
・コロイド輸液
・血液製剤</t>
  </si>
  <si>
    <t xml:space="preserve">筋疾患</t>
  </si>
  <si>
    <t xml:space="preserve">筋ジストロフィーなど筋疾患患者の注意点は。</t>
  </si>
  <si>
    <r>
      <rPr>
        <sz val="11"/>
        <rFont val="Noto Sans CJK SC"/>
        <family val="2"/>
      </rPr>
      <t xml:space="preserve">・スキサメトニウム禁忌（高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血症・心停止・横紋筋融解）
・揮発性麻酔薬は慎重（横紋筋融解様反応）
・非脱分極性筋弛緩薬に高感受性
・心筋症・不整脈
・呼吸筋力低下・術後呼吸不全
・誤嚥</t>
    </r>
  </si>
  <si>
    <t xml:space="preserve">術式別</t>
  </si>
  <si>
    <t xml:space="preserve">腹腔鏡</t>
  </si>
  <si>
    <t xml:space="preserve">気腹によって起こる生理学的変化は。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</si>
  <si>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上昇（</t>
    </r>
    <r>
      <rPr>
        <sz val="11"/>
        <rFont val="游ゴシック"/>
        <family val="0"/>
        <charset val="1"/>
      </rPr>
      <t xml:space="preserve">CO2</t>
    </r>
    <r>
      <rPr>
        <sz val="11"/>
        <rFont val="Noto Sans CJK SC"/>
        <family val="2"/>
      </rPr>
      <t xml:space="preserve">吸収）
・気道内圧上昇・機能的残気量低下
・静脈還流低下・心拍出量低下
・体血管抵抗上昇
・迷走神経反射による徐脈
・尿量減少
・頭低位で増強</t>
    </r>
  </si>
  <si>
    <t xml:space="preserve">腹腔鏡手術で起こりやすいアクシデントは。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</si>
  <si>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CO2</t>
    </r>
    <r>
      <rPr>
        <sz val="11"/>
        <rFont val="Noto Sans CJK SC"/>
        <family val="2"/>
      </rPr>
      <t xml:space="preserve">塞栓
・皮下気腫・縦隔気腫・気胸
・気腹開始時の徐脈・心停止
・トロッカーによる血管・腸管損傷
・片肺挿管（頭低位・気腹）
・術後の肩の痛み</t>
    </r>
  </si>
  <si>
    <r>
      <rPr>
        <sz val="11"/>
        <rFont val="Noto Sans CJK SC"/>
        <family val="2"/>
      </rPr>
      <t xml:space="preserve">術中に</t>
    </r>
    <r>
      <rPr>
        <sz val="11"/>
        <rFont val="游ゴシック"/>
        <family val="0"/>
        <charset val="1"/>
      </rPr>
      <t xml:space="preserve">CO2</t>
    </r>
    <r>
      <rPr>
        <sz val="11"/>
        <rFont val="Noto Sans CJK SC"/>
        <family val="2"/>
      </rPr>
      <t xml:space="preserve">塞栓を疑う所見と対応は。</t>
    </r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</si>
  <si>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の急激な低下
・</t>
    </r>
    <r>
      <rPr>
        <sz val="11"/>
        <rFont val="游ゴシック"/>
        <family val="0"/>
        <charset val="1"/>
      </rPr>
      <t xml:space="preserve">SpO2</t>
    </r>
    <r>
      <rPr>
        <sz val="11"/>
        <rFont val="Noto Sans CJK SC"/>
        <family val="2"/>
      </rPr>
      <t xml:space="preserve">低下・血圧低下
・</t>
    </r>
    <r>
      <rPr>
        <sz val="11"/>
        <rFont val="游ゴシック"/>
        <family val="0"/>
        <charset val="1"/>
      </rPr>
      <t xml:space="preserve">mill-wheel murmur
</t>
    </r>
    <r>
      <rPr>
        <sz val="11"/>
        <rFont val="Noto Sans CJK SC"/>
        <family val="2"/>
      </rPr>
      <t xml:space="preserve">・気腹の中止・脱気
・</t>
    </r>
    <r>
      <rPr>
        <sz val="11"/>
        <rFont val="游ゴシック"/>
        <family val="0"/>
        <charset val="1"/>
      </rPr>
      <t xml:space="preserve">100%</t>
    </r>
    <r>
      <rPr>
        <sz val="11"/>
        <rFont val="Noto Sans CJK SC"/>
        <family val="2"/>
      </rPr>
      <t xml:space="preserve">酸素
・頭低位・左側臥位
・循環補助・中心静脈からの吸引</t>
    </r>
  </si>
  <si>
    <t xml:space="preserve">ロボット支援手術</t>
  </si>
  <si>
    <t xml:space="preserve">強い頭低位（ロボット支援前立腺全摘など）の注意点は。</t>
  </si>
  <si>
    <t xml:space="preserve">・顔面・咽喉頭浮腫（抜管前にリークテスト）
・眼圧・頭蓋内圧の上昇
・換気困難・気道内圧上昇
・チューブの深部移動による片肺挿管
・体のずり落ち・神経障害
・術中の体位変換が困難
・輸液は控えめに</t>
  </si>
  <si>
    <t xml:space="preserve">開胸・肺切除</t>
  </si>
  <si>
    <r>
      <rPr>
        <sz val="11"/>
        <rFont val="Noto Sans CJK SC"/>
        <family val="2"/>
      </rPr>
      <t xml:space="preserve">分離肺換気中に</t>
    </r>
    <r>
      <rPr>
        <sz val="11"/>
        <rFont val="游ゴシック"/>
        <family val="0"/>
        <charset val="1"/>
      </rPr>
      <t xml:space="preserve">SpO2</t>
    </r>
    <r>
      <rPr>
        <sz val="11"/>
        <rFont val="Noto Sans CJK SC"/>
        <family val="2"/>
      </rPr>
      <t xml:space="preserve">が低下した。対応は。</t>
    </r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</si>
  <si>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FiO2</t>
    </r>
    <r>
      <rPr>
        <sz val="11"/>
        <rFont val="Noto Sans CJK SC"/>
        <family val="2"/>
      </rPr>
      <t xml:space="preserve">を上げる
・気管支ファイバーでチューブ位置を確認
・上側（非換気側）肺に</t>
    </r>
    <r>
      <rPr>
        <sz val="11"/>
        <rFont val="游ゴシック"/>
        <family val="0"/>
        <charset val="1"/>
      </rPr>
      <t xml:space="preserve">CPAP
</t>
    </r>
    <r>
      <rPr>
        <sz val="11"/>
        <rFont val="Noto Sans CJK SC"/>
        <family val="2"/>
      </rPr>
      <t xml:space="preserve">・下側（換気側）肺に</t>
    </r>
    <r>
      <rPr>
        <sz val="11"/>
        <rFont val="游ゴシック"/>
        <family val="0"/>
        <charset val="1"/>
      </rPr>
      <t xml:space="preserve">PEEP
</t>
    </r>
    <r>
      <rPr>
        <sz val="11"/>
        <rFont val="Noto Sans CJK SC"/>
        <family val="2"/>
      </rPr>
      <t xml:space="preserve">・間欠的な両肺換気
・術者に肺動脈の一時遮断を依頼
・循環（心拍出量）の確認</t>
    </r>
  </si>
  <si>
    <t xml:space="preserve">肺切除術の周術期の注意点は。</t>
  </si>
  <si>
    <r>
      <rPr>
        <sz val="11"/>
        <rFont val="Noto Sans CJK SC"/>
        <family val="2"/>
      </rPr>
      <t xml:space="preserve">・分離肺換気の管理
・低酸素性肺血管攣縮（</t>
    </r>
    <r>
      <rPr>
        <sz val="11"/>
        <rFont val="游ゴシック"/>
        <family val="0"/>
        <charset val="1"/>
      </rPr>
      <t xml:space="preserve">HPV</t>
    </r>
    <r>
      <rPr>
        <sz val="11"/>
        <rFont val="Noto Sans CJK SC"/>
        <family val="2"/>
      </rPr>
      <t xml:space="preserve">）を妨げない
・過剰輸液を避ける（術後肺水腫）
・術後鎮痛（硬膜外・傍脊椎ブロック）
・不整脈（心房細動）
・気管支断端瘻・</t>
    </r>
    <r>
      <rPr>
        <sz val="11"/>
        <rFont val="游ゴシック"/>
        <family val="0"/>
        <charset val="1"/>
      </rPr>
      <t xml:space="preserve">air leak</t>
    </r>
  </si>
  <si>
    <t xml:space="preserve">心臓外科</t>
  </si>
  <si>
    <t xml:space="preserve">人工心肺を用いる手術で麻酔科が管理する要素は。</t>
  </si>
  <si>
    <r>
      <rPr>
        <sz val="11"/>
        <rFont val="Noto Sans CJK SC"/>
        <family val="2"/>
      </rPr>
      <t xml:space="preserve">・ヘパリン化と</t>
    </r>
    <r>
      <rPr>
        <sz val="11"/>
        <rFont val="游ゴシック"/>
        <family val="0"/>
        <charset val="1"/>
      </rPr>
      <t xml:space="preserve">ACT</t>
    </r>
    <r>
      <rPr>
        <sz val="11"/>
        <rFont val="Noto Sans CJK SC"/>
        <family val="2"/>
      </rPr>
      <t xml:space="preserve">管理
・プロタミンによる中和
・体温管理（冷却・復温）
・血液希釈・輸血
・人工心肺離脱時の強心薬・血管作動薬・ペーシング
・経食道心エコー
・電解質・血糖・凝固管理</t>
    </r>
  </si>
  <si>
    <t xml:space="preserve">頸動脈内膜剥離術</t>
  </si>
  <si>
    <r>
      <rPr>
        <sz val="11"/>
        <rFont val="Noto Sans CJK SC"/>
        <family val="2"/>
      </rPr>
      <t xml:space="preserve">頸動脈内膜剥離術（</t>
    </r>
    <r>
      <rPr>
        <sz val="11"/>
        <rFont val="游ゴシック"/>
        <family val="0"/>
        <charset val="1"/>
      </rPr>
      <t xml:space="preserve">CEA</t>
    </r>
    <r>
      <rPr>
        <sz val="11"/>
        <rFont val="Noto Sans CJK SC"/>
        <family val="2"/>
      </rPr>
      <t xml:space="preserve">）の管理の要点は。</t>
    </r>
  </si>
  <si>
    <r>
      <rPr>
        <sz val="11"/>
        <rFont val="Noto Sans CJK SC"/>
        <family val="2"/>
      </rPr>
      <t xml:space="preserve">・クランプ中は血圧を高めに維持
・解除後は高血圧を避ける（過灌流症候群）
・脳虚血モニタ（覚醒下手術、</t>
    </r>
    <r>
      <rPr>
        <sz val="11"/>
        <rFont val="游ゴシック"/>
        <family val="0"/>
        <charset val="1"/>
      </rPr>
      <t xml:space="preserve">NIRS</t>
    </r>
    <r>
      <rPr>
        <sz val="11"/>
        <rFont val="Noto Sans CJK SC"/>
        <family val="2"/>
      </rPr>
      <t xml:space="preserve">、</t>
    </r>
    <r>
      <rPr>
        <sz val="11"/>
        <rFont val="游ゴシック"/>
        <family val="0"/>
        <charset val="1"/>
      </rPr>
      <t xml:space="preserve">SEP</t>
    </r>
    <r>
      <rPr>
        <sz val="11"/>
        <rFont val="Noto Sans CJK SC"/>
        <family val="2"/>
      </rPr>
      <t xml:space="preserve">）
・頸動脈洞刺激による徐脈・低血圧
・術後の血腫による気道閉塞
・スムーズな覚醒と神経学的評価</t>
    </r>
  </si>
  <si>
    <t xml:space="preserve">脳神経外科</t>
  </si>
  <si>
    <t xml:space="preserve">開頭術の麻酔管理の要点は。</t>
  </si>
  <si>
    <t xml:space="preserve">・頭蓋内圧の管理（頭高位、静脈還流の確保、一時的な過換気、マンニトール・高張食塩水）
・脳灌流圧の維持
・血糖管理
・スムーズな覚醒（咳嗽・高血圧を避ける）
・術後の意識レベル評価
・出血・空気塞栓</t>
  </si>
  <si>
    <t xml:space="preserve">座位手術で最も注意すべき合併症と対応は。</t>
  </si>
  <si>
    <r>
      <rPr>
        <sz val="11"/>
        <rFont val="Noto Sans CJK SC"/>
        <family val="2"/>
      </rPr>
      <t xml:space="preserve">・空気塞栓
・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の急低下・低血圧
・心前部ドプラで早期発見
・術野を生理食塩水で満たす・術者へ連絡
・頭低位・左側臥位
・中心静脈カテーテルから吸引
・亜酸化窒素を中止</t>
    </r>
  </si>
  <si>
    <t xml:space="preserve">甲状腺</t>
  </si>
  <si>
    <t xml:space="preserve">甲状腺手術の周術期の注意点は。</t>
  </si>
  <si>
    <t xml:space="preserve">・反回神経モニタ使用時は筋弛緩薬を控える
・術後血腫による気道閉塞（緊急開創）
・両側反回神経麻痺による上気道閉塞
・術後の低カルシウム血症（副甲状腺）
・気管軟化症
・抜管前の声帯の観察</t>
  </si>
  <si>
    <t xml:space="preserve">耳鼻咽喉科</t>
  </si>
  <si>
    <t xml:space="preserve">小児の扁桃摘出術で注意することは。</t>
  </si>
  <si>
    <r>
      <rPr>
        <sz val="11"/>
        <rFont val="Noto Sans CJK SC"/>
        <family val="2"/>
      </rPr>
      <t xml:space="preserve">・喉頭痙攣
・術後出血（再手術は満胃・循環血液量減少として</t>
    </r>
    <r>
      <rPr>
        <sz val="11"/>
        <rFont val="游ゴシック"/>
        <family val="0"/>
        <charset val="1"/>
      </rPr>
      <t xml:space="preserve">RSI</t>
    </r>
    <r>
      <rPr>
        <sz val="11"/>
        <rFont val="Noto Sans CJK SC"/>
        <family val="2"/>
      </rPr>
      <t xml:space="preserve">）
・術後の気道閉塞（</t>
    </r>
    <r>
      <rPr>
        <sz val="11"/>
        <rFont val="游ゴシック"/>
        <family val="0"/>
        <charset val="1"/>
      </rPr>
      <t xml:space="preserve">OSA</t>
    </r>
    <r>
      <rPr>
        <sz val="11"/>
        <rFont val="Noto Sans CJK SC"/>
        <family val="2"/>
      </rPr>
      <t xml:space="preserve">児）
・</t>
    </r>
    <r>
      <rPr>
        <sz val="11"/>
        <rFont val="游ゴシック"/>
        <family val="0"/>
        <charset val="1"/>
      </rPr>
      <t xml:space="preserve">PONV</t>
    </r>
    <r>
      <rPr>
        <sz val="11"/>
        <rFont val="Noto Sans CJK SC"/>
        <family val="2"/>
      </rPr>
      <t xml:space="preserve">が多い
・オピオイドは控えめに（コデインは禁忌）
・咽頭パックの抜き忘れ</t>
    </r>
  </si>
  <si>
    <t xml:space="preserve">気道レーザー手術での火災予防と対応は。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</si>
  <si>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FiO2</t>
    </r>
    <r>
      <rPr>
        <sz val="11"/>
        <rFont val="Noto Sans CJK SC"/>
        <family val="2"/>
      </rPr>
      <t xml:space="preserve">を</t>
    </r>
    <r>
      <rPr>
        <sz val="11"/>
        <rFont val="游ゴシック"/>
        <family val="0"/>
        <charset val="1"/>
      </rPr>
      <t xml:space="preserve">30%</t>
    </r>
    <r>
      <rPr>
        <sz val="11"/>
        <rFont val="Noto Sans CJK SC"/>
        <family val="2"/>
      </rPr>
      <t xml:space="preserve">以下に、亜酸化窒素は使わない
・レーザー用気管チューブ
・カフに生理食塩水（色素入り）を注入
・火災時：換気を止め、チューブを抜去、生理食塩水を注入
・気道熱傷の評価・再挿管</t>
    </r>
  </si>
  <si>
    <t xml:space="preserve">整形外科</t>
  </si>
  <si>
    <t xml:space="preserve">骨セメント使用時に起こる合併症と対策は。</t>
  </si>
  <si>
    <r>
      <rPr>
        <sz val="11"/>
        <rFont val="Noto Sans CJK SC"/>
        <family val="2"/>
      </rPr>
      <t xml:space="preserve">・骨セメント症候群（低血圧、低酸素、不整脈、心停止）
・肺塞栓・脂肪塞栓
・セメント挿入前に循環血液量を最適化し</t>
    </r>
    <r>
      <rPr>
        <sz val="11"/>
        <rFont val="游ゴシック"/>
        <family val="0"/>
        <charset val="1"/>
      </rPr>
      <t xml:space="preserve">FiO2</t>
    </r>
    <r>
      <rPr>
        <sz val="11"/>
        <rFont val="Noto Sans CJK SC"/>
        <family val="2"/>
      </rPr>
      <t xml:space="preserve">を上げる
・術者に挿入のタイミングを予告してもらう
・昇圧薬の準備</t>
    </r>
  </si>
  <si>
    <t xml:space="preserve">駆血帯（ターニケット）使用時の注意点は。</t>
  </si>
  <si>
    <r>
      <rPr>
        <sz val="11"/>
        <rFont val="Noto Sans CJK SC"/>
        <family val="2"/>
      </rPr>
      <t xml:space="preserve">・装着時間は原則</t>
    </r>
    <r>
      <rPr>
        <sz val="11"/>
        <rFont val="游ゴシック"/>
        <family val="0"/>
        <charset val="1"/>
      </rPr>
      <t xml:space="preserve">2</t>
    </r>
    <r>
      <rPr>
        <sz val="11"/>
        <rFont val="Noto Sans CJK SC"/>
        <family val="2"/>
      </rPr>
      <t xml:space="preserve">時間以内
・駆血中の疼痛・高血圧（</t>
    </r>
    <r>
      <rPr>
        <sz val="11"/>
        <rFont val="游ゴシック"/>
        <family val="0"/>
        <charset val="1"/>
      </rPr>
      <t xml:space="preserve">tourniquet pain</t>
    </r>
    <r>
      <rPr>
        <sz val="11"/>
        <rFont val="Noto Sans CJK SC"/>
        <family val="2"/>
      </rPr>
      <t xml:space="preserve">）
・解除後の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上昇・高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血症・アシドーシス・血圧低下
・神経障害・皮膚障害
・深部静脈血栓の遊離</t>
    </r>
  </si>
  <si>
    <t xml:space="preserve">脊椎外科</t>
  </si>
  <si>
    <t xml:space="preserve">腹臥位手術の注意点は。</t>
  </si>
  <si>
    <t xml:space="preserve">・眼球圧迫による術後視力障害
・腹圧上昇による静脈うっ血と出血増加
・気管チューブ・ラインの抜けや屈曲
・体位変換時の循環変動
・顔面・舌の浮腫（抜管の判断）
・末梢神経・関節の圧迫</t>
  </si>
  <si>
    <t xml:space="preserve">泌尿器科</t>
  </si>
  <si>
    <r>
      <rPr>
        <sz val="11"/>
        <rFont val="游ゴシック"/>
        <family val="0"/>
        <charset val="1"/>
      </rPr>
      <t xml:space="preserve">TUR</t>
    </r>
    <r>
      <rPr>
        <sz val="11"/>
        <rFont val="Noto Sans CJK SC"/>
        <family val="2"/>
      </rPr>
      <t xml:space="preserve">症候群の症状と対応は。</t>
    </r>
  </si>
  <si>
    <r>
      <rPr>
        <sz val="11"/>
        <rFont val="Noto Sans CJK SC"/>
        <family val="2"/>
      </rPr>
      <t xml:space="preserve">・低ナトリウム血症
・意識障害・けいれん
・徐脈・高血圧のち循環虚脱
・視覚異常（灌流液による）
・溶血
・対応：手術終了、</t>
    </r>
    <r>
      <rPr>
        <sz val="11"/>
        <rFont val="游ゴシック"/>
        <family val="0"/>
        <charset val="1"/>
      </rPr>
      <t xml:space="preserve">Na</t>
    </r>
    <r>
      <rPr>
        <sz val="11"/>
        <rFont val="Noto Sans CJK SC"/>
        <family val="2"/>
      </rPr>
      <t xml:space="preserve">の緩徐な補正、利尿、気道確保
・脊椎麻酔なら症状を早期に把握できる</t>
    </r>
  </si>
  <si>
    <r>
      <rPr>
        <sz val="11"/>
        <rFont val="Noto Sans CJK SC"/>
        <family val="2"/>
      </rPr>
      <t xml:space="preserve">経尿道的手術（</t>
    </r>
    <r>
      <rPr>
        <sz val="11"/>
        <rFont val="游ゴシック"/>
        <family val="0"/>
        <charset val="1"/>
      </rPr>
      <t xml:space="preserve">TUR-Bt</t>
    </r>
    <r>
      <rPr>
        <sz val="11"/>
        <rFont val="Noto Sans CJK SC"/>
        <family val="2"/>
      </rPr>
      <t xml:space="preserve">）で起こりやすいアクシデントは。</t>
    </r>
  </si>
  <si>
    <t xml:space="preserve">・閉鎖神経反射による下肢内転と膀胱穿孔
・膀胱穿孔（肩の痛み・腹部膨満）
・灌流液の吸収・低体温
・出血</t>
  </si>
  <si>
    <t xml:space="preserve">産科</t>
  </si>
  <si>
    <t xml:space="preserve">脊椎麻酔下帝王切開の管理の要点は。</t>
  </si>
  <si>
    <t xml:space="preserve">・子宮左方転位（仰臥位低血圧の予防）
・フェニレフリンの持続投与で血圧維持
・高位脊椎麻酔（呼吸困難・悪心）
・悪心・嘔吐
・児娩出後のオキシトシンによる血圧低下
・弛緩出血
・全身麻酔なら誤嚥・挿管困難</t>
  </si>
  <si>
    <t xml:space="preserve">産科危機的出血への対応は。</t>
  </si>
  <si>
    <r>
      <rPr>
        <sz val="11"/>
        <rFont val="Noto Sans CJK SC"/>
        <family val="2"/>
      </rPr>
      <t xml:space="preserve">・応援要請・輸血の準備（大量輸血プロトコル）
・子宮収縮薬（オキシトシン、メチルエルゴメトリン、プロスタグランジン）
・子宮圧迫・バルーン・動脈塞栓・子宮摘出
・トラネキサム酸
・フィブリノゲンの補充
・羊水塞栓・</t>
    </r>
    <r>
      <rPr>
        <sz val="11"/>
        <rFont val="游ゴシック"/>
        <family val="0"/>
        <charset val="1"/>
      </rPr>
      <t xml:space="preserve">DIC</t>
    </r>
    <r>
      <rPr>
        <sz val="11"/>
        <rFont val="Noto Sans CJK SC"/>
        <family val="2"/>
      </rPr>
      <t xml:space="preserve">の鑑別</t>
    </r>
  </si>
  <si>
    <t xml:space="preserve">消化器外科</t>
  </si>
  <si>
    <t xml:space="preserve">肝切除術の麻酔管理の要点は。</t>
  </si>
  <si>
    <r>
      <rPr>
        <sz val="11"/>
        <rFont val="Noto Sans CJK SC"/>
        <family val="2"/>
      </rPr>
      <t xml:space="preserve">・中心静脈圧を低めに保ち出血を減らす
・</t>
    </r>
    <r>
      <rPr>
        <sz val="11"/>
        <rFont val="游ゴシック"/>
        <family val="0"/>
        <charset val="1"/>
      </rPr>
      <t xml:space="preserve">Pringle</t>
    </r>
    <r>
      <rPr>
        <sz val="11"/>
        <rFont val="Noto Sans CJK SC"/>
        <family val="2"/>
      </rPr>
      <t xml:space="preserve">法による血行動態変化
・空気塞栓
・大量出血・凝固障害
・低血糖
・低体温
・術後の肝機能低下</t>
    </r>
  </si>
  <si>
    <t xml:space="preserve">血管外科</t>
  </si>
  <si>
    <t xml:space="preserve">大動脈遮断（クランプ）と解除で起こることは。</t>
  </si>
  <si>
    <r>
      <rPr>
        <sz val="11"/>
        <rFont val="Noto Sans CJK SC"/>
        <family val="2"/>
      </rPr>
      <t xml:space="preserve">・クランプ時：後負荷の急上昇、心負荷増大、遠位の虚血
・解除時：血圧低下、代謝性アシドーシス、高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血症
・対策：クランプ前に降圧・血管拡張薬、解除前に輸液と昇圧の準備
・腎虚血・脊髄虚血</t>
    </r>
  </si>
  <si>
    <t xml:space="preserve">外傷</t>
  </si>
  <si>
    <t xml:space="preserve">外傷・大量出血症例の管理の要点は。</t>
  </si>
  <si>
    <r>
      <rPr>
        <sz val="11"/>
        <rFont val="Noto Sans CJK SC"/>
        <family val="2"/>
      </rPr>
      <t xml:space="preserve">・死の三徴（低体温・アシドーシス・凝固障害）の回避
・</t>
    </r>
    <r>
      <rPr>
        <sz val="11"/>
        <rFont val="游ゴシック"/>
        <family val="0"/>
        <charset val="1"/>
      </rPr>
      <t xml:space="preserve">damage control surgery
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1:1:1</t>
    </r>
    <r>
      <rPr>
        <sz val="11"/>
        <rFont val="Noto Sans CJK SC"/>
        <family val="2"/>
      </rPr>
      <t xml:space="preserve">の比率輸血
・</t>
    </r>
    <r>
      <rPr>
        <sz val="11"/>
        <rFont val="游ゴシック"/>
        <family val="0"/>
        <charset val="1"/>
      </rPr>
      <t xml:space="preserve">permissive hypotension</t>
    </r>
    <r>
      <rPr>
        <sz val="11"/>
        <rFont val="Noto Sans CJK SC"/>
        <family val="2"/>
      </rPr>
      <t xml:space="preserve">（頭部外傷では行わない）
・トラネキサム酸
・カルシウム補充
・急速輸血装置・加温</t>
    </r>
  </si>
  <si>
    <t xml:space="preserve">緊急手術</t>
  </si>
  <si>
    <t xml:space="preserve">緊急手術の全身麻酔の基本方針は。</t>
  </si>
  <si>
    <t xml:space="preserve">・フルストマックとして扱う（迅速導入）
・循環血液量不足を想定し導入薬を減量
・太い静脈路・輸血の準備
・体温管理
・電解質・アシドーシスの補正
・既往歴・内服の情報が乏しいことを前提に</t>
  </si>
  <si>
    <t xml:space="preserve">眼科</t>
  </si>
  <si>
    <t xml:space="preserve">眼科手術で注意する反射と合併症は。</t>
  </si>
  <si>
    <r>
      <rPr>
        <sz val="11"/>
        <rFont val="Noto Sans CJK SC"/>
        <family val="2"/>
      </rPr>
      <t xml:space="preserve">・眼心臓反射（外眼筋牽引による徐脈）→ 操作中止、アトロピン
・体動・咳嗽による眼内圧上昇
・</t>
    </r>
    <r>
      <rPr>
        <sz val="11"/>
        <rFont val="游ゴシック"/>
        <family val="0"/>
        <charset val="1"/>
      </rPr>
      <t xml:space="preserve">SF6</t>
    </r>
    <r>
      <rPr>
        <sz val="11"/>
        <rFont val="Noto Sans CJK SC"/>
        <family val="2"/>
      </rPr>
      <t xml:space="preserve">など眼内ガス使用時は亜酸化窒素を避ける
・局所麻酔＋鎮静時の呼吸抑制・不動の維持</t>
    </r>
  </si>
  <si>
    <t xml:space="preserve">手術室外</t>
  </si>
  <si>
    <r>
      <rPr>
        <sz val="11"/>
        <rFont val="Noto Sans CJK SC"/>
        <family val="2"/>
      </rPr>
      <t xml:space="preserve">手術室外（内視鏡・</t>
    </r>
    <r>
      <rPr>
        <sz val="11"/>
        <rFont val="游ゴシック"/>
        <family val="0"/>
        <charset val="1"/>
      </rPr>
      <t xml:space="preserve">IVR</t>
    </r>
    <r>
      <rPr>
        <sz val="11"/>
        <rFont val="Noto Sans CJK SC"/>
        <family val="2"/>
      </rPr>
      <t xml:space="preserve">など）の麻酔で注意することは。</t>
    </r>
  </si>
  <si>
    <t xml:space="preserve">・酸素・吸引・救急薬品・モニタの事前確認
・応援が得にくい
・暗所・遠隔での観察
・気道確保困難時の対応
・放射線防護
・造影剤アレルギー
・搬送・回復スペースの確保</t>
  </si>
  <si>
    <t xml:space="preserve">内視鏡・鎮静</t>
  </si>
  <si>
    <t xml:space="preserve">鎮静中の主なアクシデントは。</t>
  </si>
  <si>
    <r>
      <rPr>
        <sz val="11"/>
        <rFont val="Noto Sans CJK SC"/>
        <family val="2"/>
      </rPr>
      <t xml:space="preserve">・上気道閉塞・低換気
・低酸素血症
・誤嚥
・過鎮静・覚醒遅延
・循環抑制
・モニタなしでの見落とし（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の活用）</t>
    </r>
  </si>
  <si>
    <t xml:space="preserve">区域麻酔</t>
  </si>
  <si>
    <t xml:space="preserve">脊椎麻酔で高位（全脊椎麻酔）になったときの症状と対応は。</t>
  </si>
  <si>
    <t xml:space="preserve">・低血圧・徐脈
・悪心・嘔吐
・上肢のしびれ・呼吸困難
・意識消失
・対応：気道確保・人工呼吸、輸液、昇圧薬（エフェドリン、アドレナリン）、アトロピン</t>
  </si>
  <si>
    <t xml:space="preserve">硬膜外麻酔の合併症は。</t>
  </si>
  <si>
    <t xml:space="preserve">・硬膜穿刺後頭痛
・局所麻酔薬中毒
・硬膜外血腫（抗凝固薬）
・硬膜外膿瘍
・全脊椎麻酔
・尿閉
・血圧低下</t>
  </si>
  <si>
    <t xml:space="preserve">末梢神経ブロックの合併症は。</t>
  </si>
  <si>
    <r>
      <rPr>
        <sz val="11"/>
        <rFont val="Noto Sans CJK SC"/>
        <family val="2"/>
      </rPr>
      <t xml:space="preserve">・局所麻酔薬中毒
・血管穿刺・血腫
・神経損傷
・気胸（腕神経叢ブロック、傍脊椎ブロック）
・横隔神経麻痺（斜角筋間ブロック）
・反回神経麻痺・</t>
    </r>
    <r>
      <rPr>
        <sz val="11"/>
        <rFont val="游ゴシック"/>
        <family val="0"/>
        <charset val="1"/>
      </rPr>
      <t xml:space="preserve">Horner</t>
    </r>
    <r>
      <rPr>
        <sz val="11"/>
        <rFont val="Noto Sans CJK SC"/>
        <family val="2"/>
      </rPr>
      <t xml:space="preserve">症候群</t>
    </r>
  </si>
  <si>
    <t xml:space="preserve">輸血・凝固</t>
  </si>
  <si>
    <t xml:space="preserve">赤血球</t>
  </si>
  <si>
    <r>
      <rPr>
        <sz val="11"/>
        <rFont val="Noto Sans CJK SC"/>
        <family val="2"/>
      </rPr>
      <t xml:space="preserve">赤血球液（</t>
    </r>
    <r>
      <rPr>
        <sz val="11"/>
        <rFont val="游ゴシック"/>
        <family val="0"/>
        <charset val="1"/>
      </rPr>
      <t xml:space="preserve">RBC</t>
    </r>
    <r>
      <rPr>
        <sz val="11"/>
        <rFont val="Noto Sans CJK SC"/>
        <family val="2"/>
      </rPr>
      <t xml:space="preserve">）</t>
    </r>
    <r>
      <rPr>
        <sz val="11"/>
        <rFont val="游ゴシック"/>
        <family val="0"/>
        <charset val="1"/>
      </rPr>
      <t xml:space="preserve">2</t>
    </r>
    <r>
      <rPr>
        <sz val="11"/>
        <rFont val="Noto Sans CJK SC"/>
        <family val="2"/>
      </rPr>
      <t xml:space="preserve">単位で</t>
    </r>
    <r>
      <rPr>
        <sz val="11"/>
        <rFont val="游ゴシック"/>
        <family val="0"/>
        <charset val="1"/>
      </rPr>
      <t xml:space="preserve">Hb</t>
    </r>
    <r>
      <rPr>
        <sz val="11"/>
        <rFont val="Noto Sans CJK SC"/>
        <family val="2"/>
      </rPr>
      <t xml:space="preserve">はどのくらい上がるか。</t>
    </r>
  </si>
  <si>
    <r>
      <rPr>
        <sz val="11"/>
        <rFont val="Noto Sans CJK SC"/>
        <family val="2"/>
      </rPr>
      <t xml:space="preserve">・成人で約</t>
    </r>
    <r>
      <rPr>
        <sz val="11"/>
        <rFont val="游ゴシック"/>
        <family val="0"/>
        <charset val="1"/>
      </rPr>
      <t xml:space="preserve">1.0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1.5g/dL
</t>
    </r>
    <r>
      <rPr>
        <sz val="11"/>
        <rFont val="Noto Sans CJK SC"/>
        <family val="2"/>
      </rPr>
      <t xml:space="preserve">・体重・循環血液量で変わる
・出血が続いていれば上がらない</t>
    </r>
  </si>
  <si>
    <t xml:space="preserve">輸血の指標</t>
  </si>
  <si>
    <t xml:space="preserve">術中の輸血開始の目安（トリガー）は。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</si>
  <si>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Hb 7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8g/dL
</t>
    </r>
    <r>
      <rPr>
        <sz val="11"/>
        <rFont val="Noto Sans CJK SC"/>
        <family val="2"/>
      </rPr>
      <t xml:space="preserve">・心疾患・高齢では</t>
    </r>
    <r>
      <rPr>
        <sz val="11"/>
        <rFont val="游ゴシック"/>
        <family val="0"/>
        <charset val="1"/>
      </rPr>
      <t xml:space="preserve">8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9g/dL
</t>
    </r>
    <r>
      <rPr>
        <sz val="11"/>
        <rFont val="Noto Sans CJK SC"/>
        <family val="2"/>
      </rPr>
      <t xml:space="preserve">・出血速度と止血の見通し
・循環動態・乳酸・</t>
    </r>
    <r>
      <rPr>
        <sz val="11"/>
        <rFont val="游ゴシック"/>
        <family val="0"/>
        <charset val="1"/>
      </rPr>
      <t xml:space="preserve">SvO2
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Hb</t>
    </r>
    <r>
      <rPr>
        <sz val="11"/>
        <rFont val="Noto Sans CJK SC"/>
        <family val="2"/>
      </rPr>
      <t xml:space="preserve">の値だけで決めない</t>
    </r>
  </si>
  <si>
    <t xml:space="preserve">大量輸血</t>
  </si>
  <si>
    <t xml:space="preserve">大量輸血の定義は。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</si>
  <si>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24</t>
    </r>
    <r>
      <rPr>
        <sz val="11"/>
        <rFont val="Noto Sans CJK SC"/>
        <family val="2"/>
      </rPr>
      <t xml:space="preserve">時間で循環血液量に相当する輸血（成人で</t>
    </r>
    <r>
      <rPr>
        <sz val="11"/>
        <rFont val="游ゴシック"/>
        <family val="0"/>
        <charset val="1"/>
      </rPr>
      <t xml:space="preserve">RBC 10</t>
    </r>
    <r>
      <rPr>
        <sz val="11"/>
        <rFont val="Noto Sans CJK SC"/>
        <family val="2"/>
      </rPr>
      <t xml:space="preserve">単位以上）
・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時間で循環血液量の</t>
    </r>
    <r>
      <rPr>
        <sz val="11"/>
        <rFont val="游ゴシック"/>
        <family val="0"/>
        <charset val="1"/>
      </rPr>
      <t xml:space="preserve">50%</t>
    </r>
    <r>
      <rPr>
        <sz val="11"/>
        <rFont val="Noto Sans CJK SC"/>
        <family val="2"/>
      </rPr>
      <t xml:space="preserve">以上
・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時間に</t>
    </r>
    <r>
      <rPr>
        <sz val="11"/>
        <rFont val="游ゴシック"/>
        <family val="0"/>
        <charset val="1"/>
      </rPr>
      <t xml:space="preserve">150mL</t>
    </r>
    <r>
      <rPr>
        <sz val="11"/>
        <rFont val="Noto Sans CJK SC"/>
        <family val="2"/>
      </rPr>
      <t xml:space="preserve">以上の出血が持続</t>
    </r>
  </si>
  <si>
    <t xml:space="preserve">大量輸血に伴う合併症は。</t>
  </si>
  <si>
    <r>
      <rPr>
        <sz val="11"/>
        <rFont val="Noto Sans CJK SC"/>
        <family val="2"/>
      </rPr>
      <t xml:space="preserve">・低体温
・希釈性凝固障害
・クエン酸による低カルシウム血症
・高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血症
・代謝性アシドーシス（のちアルカローシス）
・</t>
    </r>
    <r>
      <rPr>
        <sz val="11"/>
        <rFont val="游ゴシック"/>
        <family val="0"/>
        <charset val="1"/>
      </rPr>
      <t xml:space="preserve">TRALI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TACO
</t>
    </r>
    <r>
      <rPr>
        <sz val="11"/>
        <rFont val="Noto Sans CJK SC"/>
        <family val="2"/>
      </rPr>
      <t xml:space="preserve">・輸血関連感染</t>
    </r>
  </si>
  <si>
    <t xml:space="preserve">FFP</t>
  </si>
  <si>
    <r>
      <rPr>
        <sz val="11"/>
        <rFont val="Noto Sans CJK SC"/>
        <family val="2"/>
      </rPr>
      <t xml:space="preserve">新鮮凍結血漿（</t>
    </r>
    <r>
      <rPr>
        <sz val="11"/>
        <rFont val="游ゴシック"/>
        <family val="0"/>
        <charset val="1"/>
      </rPr>
      <t xml:space="preserve">FFP</t>
    </r>
    <r>
      <rPr>
        <sz val="11"/>
        <rFont val="Noto Sans CJK SC"/>
        <family val="2"/>
      </rPr>
      <t xml:space="preserve">）の適応と投与量は。</t>
    </r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</si>
  <si>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PT-INR 2.0</t>
    </r>
    <r>
      <rPr>
        <sz val="11"/>
        <rFont val="Noto Sans CJK SC"/>
        <family val="2"/>
      </rPr>
      <t xml:space="preserve">以上または</t>
    </r>
    <r>
      <rPr>
        <sz val="11"/>
        <rFont val="游ゴシック"/>
        <family val="0"/>
        <charset val="1"/>
      </rPr>
      <t xml:space="preserve">APTT</t>
    </r>
    <r>
      <rPr>
        <sz val="11"/>
        <rFont val="Noto Sans CJK SC"/>
        <family val="2"/>
      </rPr>
      <t xml:space="preserve">延長を伴う出血
・大量出血・希釈性凝固障害
・フィブリノゲン低下
・ワルファリンの緊急拮抗
・</t>
    </r>
    <r>
      <rPr>
        <sz val="11"/>
        <rFont val="游ゴシック"/>
        <family val="0"/>
        <charset val="1"/>
      </rPr>
      <t xml:space="preserve">10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15mL/kg</t>
    </r>
  </si>
  <si>
    <t xml:space="preserve">血小板</t>
  </si>
  <si>
    <t xml:space="preserve">血小板輸血の適応と効果の目安は。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</si>
  <si>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5</t>
    </r>
    <r>
      <rPr>
        <sz val="11"/>
        <rFont val="Noto Sans CJK SC"/>
        <family val="2"/>
      </rPr>
      <t xml:space="preserve">万</t>
    </r>
    <r>
      <rPr>
        <sz val="11"/>
        <rFont val="游ゴシック"/>
        <family val="0"/>
        <charset val="1"/>
      </rPr>
      <t xml:space="preserve">/μL</t>
    </r>
    <r>
      <rPr>
        <sz val="11"/>
        <rFont val="Noto Sans CJK SC"/>
        <family val="2"/>
      </rPr>
      <t xml:space="preserve">未満で出血または手術
・脳外科・眼科では</t>
    </r>
    <r>
      <rPr>
        <sz val="11"/>
        <rFont val="游ゴシック"/>
        <family val="0"/>
        <charset val="1"/>
      </rPr>
      <t xml:space="preserve">10</t>
    </r>
    <r>
      <rPr>
        <sz val="11"/>
        <rFont val="Noto Sans CJK SC"/>
        <family val="2"/>
      </rPr>
      <t xml:space="preserve">万</t>
    </r>
    <r>
      <rPr>
        <sz val="11"/>
        <rFont val="游ゴシック"/>
        <family val="0"/>
        <charset val="1"/>
      </rPr>
      <t xml:space="preserve">/μL
</t>
    </r>
    <r>
      <rPr>
        <sz val="11"/>
        <rFont val="Noto Sans CJK SC"/>
        <family val="2"/>
      </rPr>
      <t xml:space="preserve">・血小板機能異常（抗血小板薬）
・成人で</t>
    </r>
    <r>
      <rPr>
        <sz val="11"/>
        <rFont val="游ゴシック"/>
        <family val="0"/>
        <charset val="1"/>
      </rPr>
      <t xml:space="preserve">10</t>
    </r>
    <r>
      <rPr>
        <sz val="11"/>
        <rFont val="Noto Sans CJK SC"/>
        <family val="2"/>
      </rPr>
      <t xml:space="preserve">単位輸血して約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4</t>
    </r>
    <r>
      <rPr>
        <sz val="11"/>
        <rFont val="Noto Sans CJK SC"/>
        <family val="2"/>
      </rPr>
      <t xml:space="preserve">万</t>
    </r>
    <r>
      <rPr>
        <sz val="11"/>
        <rFont val="游ゴシック"/>
        <family val="0"/>
        <charset val="1"/>
      </rPr>
      <t xml:space="preserve">/μL</t>
    </r>
    <r>
      <rPr>
        <sz val="11"/>
        <rFont val="Noto Sans CJK SC"/>
        <family val="2"/>
      </rPr>
      <t xml:space="preserve">上昇</t>
    </r>
  </si>
  <si>
    <t xml:space="preserve">フィブリノゲン</t>
  </si>
  <si>
    <t xml:space="preserve">フィブリノゲンの目標値と補充方法は。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</si>
  <si>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150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200mg/dL</t>
    </r>
    <r>
      <rPr>
        <sz val="11"/>
        <rFont val="Noto Sans CJK SC"/>
        <family val="2"/>
      </rPr>
      <t xml:space="preserve">以上（産科出血では</t>
    </r>
    <r>
      <rPr>
        <sz val="11"/>
        <rFont val="游ゴシック"/>
        <family val="0"/>
        <charset val="1"/>
      </rPr>
      <t xml:space="preserve">200</t>
    </r>
    <r>
      <rPr>
        <sz val="11"/>
        <rFont val="Noto Sans CJK SC"/>
        <family val="2"/>
      </rPr>
      <t xml:space="preserve">以上）
・クリオプレシピテート
・フィブリノゲン濃縮製剤
・</t>
    </r>
    <r>
      <rPr>
        <sz val="11"/>
        <rFont val="游ゴシック"/>
        <family val="0"/>
        <charset val="1"/>
      </rPr>
      <t xml:space="preserve">FFP</t>
    </r>
    <r>
      <rPr>
        <sz val="11"/>
        <rFont val="Noto Sans CJK SC"/>
        <family val="2"/>
      </rPr>
      <t xml:space="preserve">（大量が必要）
・最も早く低下する凝固因子</t>
    </r>
  </si>
  <si>
    <t xml:space="preserve">副作用</t>
  </si>
  <si>
    <t xml:space="preserve">輸血の急性副作用を挙げよ。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</si>
  <si>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ABO</t>
    </r>
    <r>
      <rPr>
        <sz val="11"/>
        <rFont val="Noto Sans CJK SC"/>
        <family val="2"/>
      </rPr>
      <t xml:space="preserve">不適合による急性溶血
・アレルギー・アナフィラキシー
・発熱性非溶血反応
・</t>
    </r>
    <r>
      <rPr>
        <sz val="11"/>
        <rFont val="游ゴシック"/>
        <family val="0"/>
        <charset val="1"/>
      </rPr>
      <t xml:space="preserve">TRALI</t>
    </r>
    <r>
      <rPr>
        <sz val="11"/>
        <rFont val="Noto Sans CJK SC"/>
        <family val="2"/>
      </rPr>
      <t xml:space="preserve">（輸血関連急性肺障害）
・</t>
    </r>
    <r>
      <rPr>
        <sz val="11"/>
        <rFont val="游ゴシック"/>
        <family val="0"/>
        <charset val="1"/>
      </rPr>
      <t xml:space="preserve">TACO</t>
    </r>
    <r>
      <rPr>
        <sz val="11"/>
        <rFont val="Noto Sans CJK SC"/>
        <family val="2"/>
      </rPr>
      <t xml:space="preserve">（輸血関連循環過負荷）
・細菌汚染
・高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血症・低</t>
    </r>
    <r>
      <rPr>
        <sz val="11"/>
        <rFont val="游ゴシック"/>
        <family val="0"/>
        <charset val="1"/>
      </rPr>
      <t xml:space="preserve">Ca</t>
    </r>
    <r>
      <rPr>
        <sz val="11"/>
        <rFont val="Noto Sans CJK SC"/>
        <family val="2"/>
      </rPr>
      <t xml:space="preserve">血症</t>
    </r>
  </si>
  <si>
    <r>
      <rPr>
        <sz val="11"/>
        <rFont val="Noto Sans CJK SC"/>
        <family val="2"/>
      </rPr>
      <t xml:space="preserve">全身麻酔中の</t>
    </r>
    <r>
      <rPr>
        <sz val="11"/>
        <rFont val="游ゴシック"/>
        <family val="0"/>
        <charset val="1"/>
      </rPr>
      <t xml:space="preserve">ABO</t>
    </r>
    <r>
      <rPr>
        <sz val="11"/>
        <rFont val="Noto Sans CJK SC"/>
        <family val="2"/>
      </rPr>
      <t xml:space="preserve">不適合輸血に気づく所見は。</t>
    </r>
  </si>
  <si>
    <r>
      <rPr>
        <sz val="11"/>
        <rFont val="Noto Sans CJK SC"/>
        <family val="2"/>
      </rPr>
      <t xml:space="preserve">・原因不明の低血圧・頻脈
・ヘモグロビン尿（赤褐色尿）
・術野からのびまん性出血（</t>
    </r>
    <r>
      <rPr>
        <sz val="11"/>
        <rFont val="游ゴシック"/>
        <family val="0"/>
        <charset val="1"/>
      </rPr>
      <t xml:space="preserve">DIC</t>
    </r>
    <r>
      <rPr>
        <sz val="11"/>
        <rFont val="Noto Sans CJK SC"/>
        <family val="2"/>
      </rPr>
      <t xml:space="preserve">）
・気道内圧上昇・</t>
    </r>
    <r>
      <rPr>
        <sz val="11"/>
        <rFont val="游ゴシック"/>
        <family val="0"/>
        <charset val="1"/>
      </rPr>
      <t xml:space="preserve">SpO2</t>
    </r>
    <r>
      <rPr>
        <sz val="11"/>
        <rFont val="Noto Sans CJK SC"/>
        <family val="2"/>
      </rPr>
      <t xml:space="preserve">低下
・発熱
・患者は症状を訴えられない点に注意</t>
    </r>
  </si>
  <si>
    <r>
      <rPr>
        <sz val="11"/>
        <rFont val="游ゴシック"/>
        <family val="0"/>
        <charset val="1"/>
      </rPr>
      <t xml:space="preserve">TRALI</t>
    </r>
    <r>
      <rPr>
        <sz val="11"/>
        <rFont val="Noto Sans CJK SC"/>
        <family val="2"/>
      </rPr>
      <t xml:space="preserve">と</t>
    </r>
    <r>
      <rPr>
        <sz val="11"/>
        <rFont val="游ゴシック"/>
        <family val="0"/>
        <charset val="1"/>
      </rPr>
      <t xml:space="preserve">TACO</t>
    </r>
    <r>
      <rPr>
        <sz val="11"/>
        <rFont val="Noto Sans CJK SC"/>
        <family val="2"/>
      </rPr>
      <t xml:space="preserve">の違いは。</t>
    </r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</si>
  <si>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TRALI</t>
    </r>
    <r>
      <rPr>
        <sz val="11"/>
        <rFont val="Noto Sans CJK SC"/>
        <family val="2"/>
      </rPr>
      <t xml:space="preserve">：輸血後</t>
    </r>
    <r>
      <rPr>
        <sz val="11"/>
        <rFont val="游ゴシック"/>
        <family val="0"/>
        <charset val="1"/>
      </rPr>
      <t xml:space="preserve">6</t>
    </r>
    <r>
      <rPr>
        <sz val="11"/>
        <rFont val="Noto Sans CJK SC"/>
        <family val="2"/>
      </rPr>
      <t xml:space="preserve">時間以内の非心原性肺水腫、</t>
    </r>
    <r>
      <rPr>
        <sz val="11"/>
        <rFont val="游ゴシック"/>
        <family val="0"/>
        <charset val="1"/>
      </rPr>
      <t xml:space="preserve">CVP</t>
    </r>
    <r>
      <rPr>
        <sz val="11"/>
        <rFont val="Noto Sans CJK SC"/>
        <family val="2"/>
      </rPr>
      <t xml:space="preserve">は正常、利尿薬は無効
・</t>
    </r>
    <r>
      <rPr>
        <sz val="11"/>
        <rFont val="游ゴシック"/>
        <family val="0"/>
        <charset val="1"/>
      </rPr>
      <t xml:space="preserve">TACO</t>
    </r>
    <r>
      <rPr>
        <sz val="11"/>
        <rFont val="Noto Sans CJK SC"/>
        <family val="2"/>
      </rPr>
      <t xml:space="preserve">：循環過負荷による心原性肺水腫、高血圧・</t>
    </r>
    <r>
      <rPr>
        <sz val="11"/>
        <rFont val="游ゴシック"/>
        <family val="0"/>
        <charset val="1"/>
      </rPr>
      <t xml:space="preserve">CVP</t>
    </r>
    <r>
      <rPr>
        <sz val="11"/>
        <rFont val="Noto Sans CJK SC"/>
        <family val="2"/>
      </rPr>
      <t xml:space="preserve">上昇、利尿薬が有効
・どちらも呼吸困難・低酸素・両側浸潤影</t>
    </r>
  </si>
  <si>
    <r>
      <rPr>
        <sz val="11"/>
        <rFont val="Noto Sans CJK SC"/>
        <family val="2"/>
      </rPr>
      <t xml:space="preserve">低</t>
    </r>
    <r>
      <rPr>
        <sz val="11"/>
        <rFont val="游ゴシック"/>
        <family val="0"/>
        <charset val="1"/>
      </rPr>
      <t xml:space="preserve">Ca</t>
    </r>
  </si>
  <si>
    <r>
      <rPr>
        <sz val="11"/>
        <rFont val="Noto Sans CJK SC"/>
        <family val="2"/>
      </rPr>
      <t xml:space="preserve">クエン酸中毒（低</t>
    </r>
    <r>
      <rPr>
        <sz val="11"/>
        <rFont val="游ゴシック"/>
        <family val="0"/>
        <charset val="1"/>
      </rPr>
      <t xml:space="preserve">Ca</t>
    </r>
    <r>
      <rPr>
        <sz val="11"/>
        <rFont val="Noto Sans CJK SC"/>
        <family val="2"/>
      </rPr>
      <t xml:space="preserve">血症）の所見と対応は。</t>
    </r>
  </si>
  <si>
    <r>
      <rPr>
        <sz val="11"/>
        <rFont val="Noto Sans CJK SC"/>
        <family val="2"/>
      </rPr>
      <t xml:space="preserve">・血圧低下・心収縮力低下
・</t>
    </r>
    <r>
      <rPr>
        <sz val="11"/>
        <rFont val="游ゴシック"/>
        <family val="0"/>
        <charset val="1"/>
      </rPr>
      <t xml:space="preserve">QT</t>
    </r>
    <r>
      <rPr>
        <sz val="11"/>
        <rFont val="Noto Sans CJK SC"/>
        <family val="2"/>
      </rPr>
      <t xml:space="preserve">延長
・イオン化カルシウムの低下
・グルコン酸カルシウムまたは塩化カルシウムの投与
・急速大量輸血・肝機能低下で起こりやすい</t>
    </r>
  </si>
  <si>
    <t xml:space="preserve">凝固モニタ</t>
  </si>
  <si>
    <t xml:space="preserve">術中の凝固能の評価方法は。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</si>
  <si>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PT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APTT
</t>
    </r>
    <r>
      <rPr>
        <sz val="11"/>
        <rFont val="Noto Sans CJK SC"/>
        <family val="2"/>
      </rPr>
      <t xml:space="preserve">・フィブリノゲン
・血小板数
・</t>
    </r>
    <r>
      <rPr>
        <sz val="11"/>
        <rFont val="游ゴシック"/>
        <family val="0"/>
        <charset val="1"/>
      </rPr>
      <t xml:space="preserve">ACT</t>
    </r>
    <r>
      <rPr>
        <sz val="11"/>
        <rFont val="Noto Sans CJK SC"/>
        <family val="2"/>
      </rPr>
      <t xml:space="preserve">（ヘパリン使用時）
・粘弾性検査（</t>
    </r>
    <r>
      <rPr>
        <sz val="11"/>
        <rFont val="游ゴシック"/>
        <family val="0"/>
        <charset val="1"/>
      </rPr>
      <t xml:space="preserve">ROTEM/TEG</t>
    </r>
    <r>
      <rPr>
        <sz val="11"/>
        <rFont val="Noto Sans CJK SC"/>
        <family val="2"/>
      </rPr>
      <t xml:space="preserve">）
・</t>
    </r>
    <r>
      <rPr>
        <sz val="11"/>
        <rFont val="游ゴシック"/>
        <family val="0"/>
        <charset val="1"/>
      </rPr>
      <t xml:space="preserve">D</t>
    </r>
    <r>
      <rPr>
        <sz val="11"/>
        <rFont val="Noto Sans CJK SC"/>
        <family val="2"/>
      </rPr>
      <t xml:space="preserve">ダイマー・</t>
    </r>
    <r>
      <rPr>
        <sz val="11"/>
        <rFont val="游ゴシック"/>
        <family val="0"/>
        <charset val="1"/>
      </rPr>
      <t xml:space="preserve">FDP
</t>
    </r>
    <r>
      <rPr>
        <sz val="11"/>
        <rFont val="Noto Sans CJK SC"/>
        <family val="2"/>
      </rPr>
      <t xml:space="preserve">・臨床所見（術野のにじみ出る出血）</t>
    </r>
  </si>
  <si>
    <t xml:space="preserve">自己血</t>
  </si>
  <si>
    <t xml:space="preserve">自己血輸血の種類は。</t>
  </si>
  <si>
    <t xml:space="preserve">・貯血式
・希釈式（術前希釈）
・回収式（セルセーバー）
・悪性腫瘍・感染創では回収式に注意</t>
  </si>
  <si>
    <t xml:space="preserve">緊急</t>
  </si>
  <si>
    <t xml:space="preserve">血液型が不明な緊急出血への輸血は。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</si>
  <si>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O</t>
    </r>
    <r>
      <rPr>
        <sz val="11"/>
        <rFont val="Noto Sans CJK SC"/>
        <family val="2"/>
      </rPr>
      <t xml:space="preserve">型赤血球液
・</t>
    </r>
    <r>
      <rPr>
        <sz val="11"/>
        <rFont val="游ゴシック"/>
        <family val="0"/>
        <charset val="1"/>
      </rPr>
      <t xml:space="preserve">AB</t>
    </r>
    <r>
      <rPr>
        <sz val="11"/>
        <rFont val="Noto Sans CJK SC"/>
        <family val="2"/>
      </rPr>
      <t xml:space="preserve">型の</t>
    </r>
    <r>
      <rPr>
        <sz val="11"/>
        <rFont val="游ゴシック"/>
        <family val="0"/>
        <charset val="1"/>
      </rPr>
      <t xml:space="preserve">FFP
</t>
    </r>
    <r>
      <rPr>
        <sz val="11"/>
        <rFont val="Noto Sans CJK SC"/>
        <family val="2"/>
      </rPr>
      <t xml:space="preserve">・異型適合輸血・クロスマッチ省略の手順を施設プロトコルで確認
・並行して採血・血液型判定
・加温と急速輸血装置の準備</t>
    </r>
  </si>
  <si>
    <t xml:space="preserve">術後鎮痛</t>
  </si>
  <si>
    <t xml:space="preserve">考え方</t>
  </si>
  <si>
    <r>
      <rPr>
        <sz val="11"/>
        <rFont val="游ゴシック"/>
        <family val="0"/>
        <charset val="1"/>
      </rPr>
      <t xml:space="preserve">multimodal analgesia</t>
    </r>
    <r>
      <rPr>
        <sz val="11"/>
        <rFont val="Noto Sans CJK SC"/>
        <family val="2"/>
      </rPr>
      <t xml:space="preserve">（多角的鎮痛）の考え方は。</t>
    </r>
  </si>
  <si>
    <r>
      <rPr>
        <sz val="11"/>
        <rFont val="Noto Sans CJK SC"/>
        <family val="2"/>
      </rPr>
      <t xml:space="preserve">・作用機序の異なる鎮痛法を併用
・アセトアミノフェン＋</t>
    </r>
    <r>
      <rPr>
        <sz val="11"/>
        <rFont val="游ゴシック"/>
        <family val="0"/>
        <charset val="1"/>
      </rPr>
      <t xml:space="preserve">NSAIDs</t>
    </r>
    <r>
      <rPr>
        <sz val="11"/>
        <rFont val="Noto Sans CJK SC"/>
        <family val="2"/>
      </rPr>
      <t xml:space="preserve">＋区域麻酔＋オピオイド
・オピオイドの減量で副作用を減らす
・早期離床・</t>
    </r>
    <r>
      <rPr>
        <sz val="11"/>
        <rFont val="游ゴシック"/>
        <family val="0"/>
        <charset val="1"/>
      </rPr>
      <t xml:space="preserve">ERAS</t>
    </r>
    <r>
      <rPr>
        <sz val="11"/>
        <rFont val="Noto Sans CJK SC"/>
        <family val="2"/>
      </rPr>
      <t xml:space="preserve">につながる</t>
    </r>
  </si>
  <si>
    <t xml:space="preserve">IV-PCA</t>
  </si>
  <si>
    <r>
      <rPr>
        <sz val="11"/>
        <rFont val="Noto Sans CJK SC"/>
        <family val="2"/>
      </rPr>
      <t xml:space="preserve">フェンタニル</t>
    </r>
    <r>
      <rPr>
        <sz val="11"/>
        <rFont val="游ゴシック"/>
        <family val="0"/>
        <charset val="1"/>
      </rPr>
      <t xml:space="preserve">IV-PCA</t>
    </r>
    <r>
      <rPr>
        <sz val="11"/>
        <rFont val="Noto Sans CJK SC"/>
        <family val="2"/>
      </rPr>
      <t xml:space="preserve">の一般的な設定は。</t>
    </r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</si>
  <si>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回ボーラス </t>
    </r>
    <r>
      <rPr>
        <sz val="11"/>
        <rFont val="游ゴシック"/>
        <family val="0"/>
        <charset val="1"/>
      </rPr>
      <t xml:space="preserve">10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20μg
</t>
    </r>
    <r>
      <rPr>
        <sz val="11"/>
        <rFont val="Noto Sans CJK SC"/>
        <family val="2"/>
      </rPr>
      <t xml:space="preserve">・ロックアウトタイム </t>
    </r>
    <r>
      <rPr>
        <sz val="11"/>
        <rFont val="游ゴシック"/>
        <family val="0"/>
        <charset val="1"/>
      </rPr>
      <t xml:space="preserve">10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15</t>
    </r>
    <r>
      <rPr>
        <sz val="11"/>
        <rFont val="Noto Sans CJK SC"/>
        <family val="2"/>
      </rPr>
      <t xml:space="preserve">分
・持続は</t>
    </r>
    <r>
      <rPr>
        <sz val="11"/>
        <rFont val="游ゴシック"/>
        <family val="0"/>
        <charset val="1"/>
      </rPr>
      <t xml:space="preserve">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20μg/h</t>
    </r>
    <r>
      <rPr>
        <sz val="11"/>
        <rFont val="Noto Sans CJK SC"/>
        <family val="2"/>
      </rPr>
      <t xml:space="preserve">（併用は呼吸抑制に注意）
・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時間あたりの上限を設定
・制吐薬の混注</t>
    </r>
  </si>
  <si>
    <r>
      <rPr>
        <sz val="11"/>
        <rFont val="游ゴシック"/>
        <family val="0"/>
        <charset val="1"/>
      </rPr>
      <t xml:space="preserve">IV-PCA</t>
    </r>
    <r>
      <rPr>
        <sz val="11"/>
        <rFont val="Noto Sans CJK SC"/>
        <family val="2"/>
      </rPr>
      <t xml:space="preserve">の注意点・合併症は。</t>
    </r>
  </si>
  <si>
    <r>
      <rPr>
        <sz val="11"/>
        <rFont val="Noto Sans CJK SC"/>
        <family val="2"/>
      </rPr>
      <t xml:space="preserve">・呼吸抑制（持続併用、高齢、</t>
    </r>
    <r>
      <rPr>
        <sz val="11"/>
        <rFont val="游ゴシック"/>
        <family val="0"/>
        <charset val="1"/>
      </rPr>
      <t xml:space="preserve">OSA</t>
    </r>
    <r>
      <rPr>
        <sz val="11"/>
        <rFont val="Noto Sans CJK SC"/>
        <family val="2"/>
      </rPr>
      <t xml:space="preserve">、腎障害）
・悪心・嘔吐
・掻痒・尿閉
・家族や医療者が代わりに押さない（</t>
    </r>
    <r>
      <rPr>
        <sz val="11"/>
        <rFont val="游ゴシック"/>
        <family val="0"/>
        <charset val="1"/>
      </rPr>
      <t xml:space="preserve">PCA by proxy</t>
    </r>
    <r>
      <rPr>
        <sz val="11"/>
        <rFont val="Noto Sans CJK SC"/>
        <family val="2"/>
      </rPr>
      <t xml:space="preserve">）
・ルート閉塞・逆流防止弁
・モニタリングと観察</t>
    </r>
  </si>
  <si>
    <t xml:space="preserve">硬膜外</t>
  </si>
  <si>
    <t xml:space="preserve">硬膜外鎮痛の利点と適応は。</t>
  </si>
  <si>
    <t xml:space="preserve">・開胸・上腹部手術
・呼吸器合併症の減少
・腸管蠕動の早期回復
・早期離床
・オピオイド減量
・局所麻酔薬＋オピオイドの持続投与</t>
  </si>
  <si>
    <t xml:space="preserve">硬膜外血腫を疑う症状と対応は。</t>
  </si>
  <si>
    <r>
      <rPr>
        <sz val="11"/>
        <rFont val="Noto Sans CJK SC"/>
        <family val="2"/>
      </rPr>
      <t xml:space="preserve">・下肢の脱力・しびれの遷延
・背部痛
・膀胱直腸障害
・予想以上に強い運動遮断
・緊急</t>
    </r>
    <r>
      <rPr>
        <sz val="11"/>
        <rFont val="游ゴシック"/>
        <family val="0"/>
        <charset val="1"/>
      </rPr>
      <t xml:space="preserve">MRI
</t>
    </r>
    <r>
      <rPr>
        <sz val="11"/>
        <rFont val="Noto Sans CJK SC"/>
        <family val="2"/>
      </rPr>
      <t xml:space="preserve">・早期（発症</t>
    </r>
    <r>
      <rPr>
        <sz val="11"/>
        <rFont val="游ゴシック"/>
        <family val="0"/>
        <charset val="1"/>
      </rPr>
      <t xml:space="preserve">8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12</t>
    </r>
    <r>
      <rPr>
        <sz val="11"/>
        <rFont val="Noto Sans CJK SC"/>
        <family val="2"/>
      </rPr>
      <t xml:space="preserve">時間以内）の除圧手術
・抗凝固薬との時間間隔を厳守</t>
    </r>
  </si>
  <si>
    <r>
      <rPr>
        <sz val="11"/>
        <rFont val="Noto Sans CJK SC"/>
        <family val="2"/>
      </rPr>
      <t xml:space="preserve">硬膜穿刺後頭痛（</t>
    </r>
    <r>
      <rPr>
        <sz val="11"/>
        <rFont val="游ゴシック"/>
        <family val="0"/>
        <charset val="1"/>
      </rPr>
      <t xml:space="preserve">PDPH</t>
    </r>
    <r>
      <rPr>
        <sz val="11"/>
        <rFont val="Noto Sans CJK SC"/>
        <family val="2"/>
      </rPr>
      <t xml:space="preserve">）の特徴と対応は。</t>
    </r>
  </si>
  <si>
    <t xml:space="preserve">・起立で増悪し臥位で軽快する頭痛
・若年・女性・太い針で多い
・安静・補液・カフェイン・鎮痛薬
・改善しなければ硬膜外自家血パッチ</t>
  </si>
  <si>
    <t xml:space="preserve">神経ブロック</t>
  </si>
  <si>
    <t xml:space="preserve">代表的な神経ブロックと適応は。</t>
  </si>
  <si>
    <r>
      <rPr>
        <sz val="11"/>
        <rFont val="Noto Sans CJK SC"/>
        <family val="2"/>
      </rPr>
      <t xml:space="preserve">・腹横筋膜面（</t>
    </r>
    <r>
      <rPr>
        <sz val="11"/>
        <rFont val="游ゴシック"/>
        <family val="0"/>
        <charset val="1"/>
      </rPr>
      <t xml:space="preserve">TAP</t>
    </r>
    <r>
      <rPr>
        <sz val="11"/>
        <rFont val="Noto Sans CJK SC"/>
        <family val="2"/>
      </rPr>
      <t xml:space="preserve">）ブロック：腹壁の切開
・腹直筋鞘ブロック：正中切開
・腕神経叢ブロック：上肢
・大腿神経・内転筋管ブロック：膝
・坐骨神経ブロック：下腿・足
・傍脊椎・前鋸筋面ブロック：開胸・乳房</t>
    </r>
  </si>
  <si>
    <t xml:space="preserve">評価</t>
  </si>
  <si>
    <t xml:space="preserve">術後痛の評価方法は。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</si>
  <si>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NRS</t>
    </r>
    <r>
      <rPr>
        <sz val="11"/>
        <rFont val="Noto Sans CJK SC"/>
        <family val="2"/>
      </rPr>
      <t xml:space="preserve">（</t>
    </r>
    <r>
      <rPr>
        <sz val="11"/>
        <rFont val="游ゴシック"/>
        <family val="0"/>
        <charset val="1"/>
      </rPr>
      <t xml:space="preserve">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10</t>
    </r>
    <r>
      <rPr>
        <sz val="11"/>
        <rFont val="Noto Sans CJK SC"/>
        <family val="2"/>
      </rPr>
      <t xml:space="preserve">）
・</t>
    </r>
    <r>
      <rPr>
        <sz val="11"/>
        <rFont val="游ゴシック"/>
        <family val="0"/>
        <charset val="1"/>
      </rPr>
      <t xml:space="preserve">VAS
</t>
    </r>
    <r>
      <rPr>
        <sz val="11"/>
        <rFont val="Noto Sans CJK SC"/>
        <family val="2"/>
      </rPr>
      <t xml:space="preserve">・フェイススケール（小児・高齢者）
・安静時痛と体動時痛を分けて評価
・目標は</t>
    </r>
    <r>
      <rPr>
        <sz val="11"/>
        <rFont val="游ゴシック"/>
        <family val="0"/>
        <charset val="1"/>
      </rPr>
      <t xml:space="preserve">NRS 3</t>
    </r>
    <r>
      <rPr>
        <sz val="11"/>
        <rFont val="Noto Sans CJK SC"/>
        <family val="2"/>
      </rPr>
      <t xml:space="preserve">以下・体動できること</t>
    </r>
  </si>
  <si>
    <t xml:space="preserve">術後鎮痛が不十分なときの弊害は。</t>
  </si>
  <si>
    <t xml:space="preserve">・深呼吸・咳嗽ができず無気肺・肺炎
・離床の遅れ・血栓症
・頻脈・高血圧・心筋虚血
・せん妄
・慢性術後痛への移行</t>
  </si>
  <si>
    <t xml:space="preserve">呼吸抑制</t>
  </si>
  <si>
    <t xml:space="preserve">術後の呼吸抑制のリスク因子は。</t>
  </si>
  <si>
    <t xml:space="preserve">・オピオイドの過量・持続投与
・睡眠時無呼吸・肥満
・高齢
・腎機能障害（モルヒネ代謝物の蓄積）
・鎮静薬の併用
・筋弛緩薬の残存</t>
  </si>
  <si>
    <t xml:space="preserve">特殊例</t>
  </si>
  <si>
    <t xml:space="preserve">慢性的にオピオイドを内服している患者の術後鎮痛は。</t>
  </si>
  <si>
    <t xml:space="preserve">・普段の量を継続したうえで上乗せする
・必要量が大幅に増える
・区域麻酔を積極的に併用
・ケタミンの併用
・部分作動薬・拮抗薬（ペンタゾシンなど）で離脱を起こしうる
・ペインチームへ相談</t>
  </si>
  <si>
    <t xml:space="preserve">シバリング</t>
  </si>
  <si>
    <t xml:space="preserve">術後シバリングの原因と対応は。</t>
  </si>
  <si>
    <t xml:space="preserve">・低体温
・加温（温風加温）
・酸素投与
・ペチジン
・デクスメデトミジン
・酸素消費量・心負荷が増える</t>
  </si>
  <si>
    <t xml:space="preserve">せん妄</t>
  </si>
  <si>
    <t xml:space="preserve">術後せん妄の予防策は。</t>
  </si>
  <si>
    <t xml:space="preserve">・ベンゾジアゼピン・抗コリン薬を避ける
・十分な鎮痛（痛みもせん妄の原因）
・早期離床・睡眠覚醒リズム
・眼鏡・補聴器の使用、家族の面会
・脱水・低酸素・電解質異常・感染の是正</t>
  </si>
  <si>
    <t xml:space="preserve">モニタ・機器</t>
  </si>
  <si>
    <t xml:space="preserve">SpO2</t>
  </si>
  <si>
    <r>
      <rPr>
        <sz val="11"/>
        <rFont val="游ゴシック"/>
        <family val="0"/>
        <charset val="1"/>
      </rPr>
      <t xml:space="preserve">SpO2</t>
    </r>
    <r>
      <rPr>
        <sz val="11"/>
        <rFont val="Noto Sans CJK SC"/>
        <family val="2"/>
      </rPr>
      <t xml:space="preserve">の値が信頼できなくなる状況は。</t>
    </r>
  </si>
  <si>
    <t xml:space="preserve">・末梢循環不良・低体温・昇圧薬
・体動・シバリング
・マニキュア・色素
・電気メスや強い外光の干渉
・一酸化炭素中毒（過大評価）・メトヘモグロビン血症
・重度の貧血</t>
  </si>
  <si>
    <t xml:space="preserve">動脈圧</t>
  </si>
  <si>
    <t xml:space="preserve">観血的動脈圧ラインの適応は。</t>
  </si>
  <si>
    <t xml:space="preserve">・大量出血が予想される手術
・循環が不安定・昇圧薬使用
・心血管疾患・重症併存症
・頻回の血液ガス採血
・特殊な体位・開胸・心臓手術</t>
  </si>
  <si>
    <t xml:space="preserve">動脈圧波形がなまる（ダンピング）原因は。</t>
  </si>
  <si>
    <t xml:space="preserve">・回路内の気泡
・血栓・カテーテル先端の壁当たり
・カテーテルの屈曲
・延長チューブが長い・柔らかい
・加圧バッグの圧不足
・ゼロ点・トランスデューサの高さ</t>
  </si>
  <si>
    <t xml:space="preserve">中心静脈</t>
  </si>
  <si>
    <t xml:space="preserve">中心静脈カテーテル挿入の合併症は。</t>
  </si>
  <si>
    <t xml:space="preserve">・動脈穿刺・血腫
・気胸・血胸
・不整脈
・空気塞栓
・血栓・感染
・位置異常
・超音波ガイド下で行う</t>
  </si>
  <si>
    <t xml:space="preserve">電気メス</t>
  </si>
  <si>
    <t xml:space="preserve">電気メスによるモニタへの影響と対策は。</t>
  </si>
  <si>
    <r>
      <rPr>
        <sz val="11"/>
        <rFont val="Noto Sans CJK SC"/>
        <family val="2"/>
      </rPr>
      <t xml:space="preserve">・心電図のノイズ
・</t>
    </r>
    <r>
      <rPr>
        <sz val="11"/>
        <rFont val="游ゴシック"/>
        <family val="0"/>
        <charset val="1"/>
      </rPr>
      <t xml:space="preserve">SpO2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BIS</t>
    </r>
    <r>
      <rPr>
        <sz val="11"/>
        <rFont val="Noto Sans CJK SC"/>
        <family val="2"/>
      </rPr>
      <t xml:space="preserve">の表示不良
・バイポーラの使用
・対極板の位置
・触診や観血的動脈圧で循環を確認
・ペースメーカー・</t>
    </r>
    <r>
      <rPr>
        <sz val="11"/>
        <rFont val="游ゴシック"/>
        <family val="0"/>
        <charset val="1"/>
      </rPr>
      <t xml:space="preserve">ICD</t>
    </r>
    <r>
      <rPr>
        <sz val="11"/>
        <rFont val="Noto Sans CJK SC"/>
        <family val="2"/>
      </rPr>
      <t xml:space="preserve">への干渉</t>
    </r>
  </si>
  <si>
    <t xml:space="preserve">麻酔器</t>
  </si>
  <si>
    <t xml:space="preserve">麻酔器の始業点検で確認することは。</t>
  </si>
  <si>
    <t xml:space="preserve">・中央配管と酸素ボンベの圧・残量
・回路のリークテスト
・換気（人工呼吸器）の作動
・ソーダライムの状態
・蒸発器の装着と薬液量
・吸引の作動
・バッグバルブマスク・予備の気道器具
・薬剤とモニタの準備</t>
  </si>
  <si>
    <t xml:space="preserve">ソーダライムの消耗を示す所見は。</t>
  </si>
  <si>
    <r>
      <rPr>
        <sz val="11"/>
        <rFont val="Noto Sans CJK SC"/>
        <family val="2"/>
      </rPr>
      <t xml:space="preserve">・色調の変化
・吸気側</t>
    </r>
    <r>
      <rPr>
        <sz val="11"/>
        <rFont val="游ゴシック"/>
        <family val="0"/>
        <charset val="1"/>
      </rPr>
      <t xml:space="preserve">CO2</t>
    </r>
    <r>
      <rPr>
        <sz val="11"/>
        <rFont val="Noto Sans CJK SC"/>
        <family val="2"/>
      </rPr>
      <t xml:space="preserve">の上昇（カプノグラムのベースライン上昇）
・容器の発熱
・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の異常上昇</t>
    </r>
  </si>
  <si>
    <t xml:space="preserve">術中に酸素供給が途絶したときの対応は。</t>
  </si>
  <si>
    <r>
      <rPr>
        <sz val="11"/>
        <rFont val="Noto Sans CJK SC"/>
        <family val="2"/>
      </rPr>
      <t xml:space="preserve">・酸素ボンベに切り替える
・麻酔器から離脱し、バッグバルブマスクで換気
・静脈麻酔（</t>
    </r>
    <r>
      <rPr>
        <sz val="11"/>
        <rFont val="游ゴシック"/>
        <family val="0"/>
        <charset val="1"/>
      </rPr>
      <t xml:space="preserve">TIVA</t>
    </r>
    <r>
      <rPr>
        <sz val="11"/>
        <rFont val="Noto Sans CJK SC"/>
        <family val="2"/>
      </rPr>
      <t xml:space="preserve">）へ移行
・応援・臨床工学技士へ連絡
・</t>
    </r>
    <r>
      <rPr>
        <sz val="11"/>
        <rFont val="游ゴシック"/>
        <family val="0"/>
        <charset val="1"/>
      </rPr>
      <t xml:space="preserve">SpO2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で換気を確認
・手術の中断を検討</t>
    </r>
  </si>
  <si>
    <t xml:space="preserve">体温モニタの測定部位と特徴は。</t>
  </si>
  <si>
    <t xml:space="preserve">・食道・肺動脈：中枢温をよく反映
・膀胱・直腸：やや遅れる
・鼓膜
・腋窩・皮膚：末梢温、中枢温より低い
・中枢温と末梢温の差は末梢循環の指標</t>
  </si>
  <si>
    <t xml:space="preserve">BIS</t>
  </si>
  <si>
    <r>
      <rPr>
        <sz val="11"/>
        <rFont val="游ゴシック"/>
        <family val="0"/>
        <charset val="1"/>
      </rPr>
      <t xml:space="preserve">BIS</t>
    </r>
    <r>
      <rPr>
        <sz val="11"/>
        <rFont val="Noto Sans CJK SC"/>
        <family val="2"/>
      </rPr>
      <t xml:space="preserve">モニタの限界は。</t>
    </r>
  </si>
  <si>
    <t xml:space="preserve">・筋電図・電気メスの干渉で高く出る
・ケタミン・亜酸化窒素では低下しない
・低体温・低灌流で低下する
・個人差が大きい
・術中覚醒を完全には否定できない
・脳波の生波形も確認する</t>
  </si>
  <si>
    <t xml:space="preserve">輸液反応性</t>
  </si>
  <si>
    <r>
      <rPr>
        <sz val="11"/>
        <rFont val="游ゴシック"/>
        <family val="0"/>
        <charset val="1"/>
      </rPr>
      <t xml:space="preserve">SVV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PPV</t>
    </r>
    <r>
      <rPr>
        <sz val="11"/>
        <rFont val="Noto Sans CJK SC"/>
        <family val="2"/>
      </rPr>
      <t xml:space="preserve">で輸液反応性を評価できる条件は。</t>
    </r>
  </si>
  <si>
    <r>
      <rPr>
        <sz val="11"/>
        <rFont val="Noto Sans CJK SC"/>
        <family val="2"/>
      </rPr>
      <t xml:space="preserve">・調節換気（自発呼吸がない）
・一回換気量 </t>
    </r>
    <r>
      <rPr>
        <sz val="11"/>
        <rFont val="游ゴシック"/>
        <family val="0"/>
        <charset val="1"/>
      </rPr>
      <t xml:space="preserve">8mL/kg</t>
    </r>
    <r>
      <rPr>
        <sz val="11"/>
        <rFont val="Noto Sans CJK SC"/>
        <family val="2"/>
      </rPr>
      <t xml:space="preserve">程度以上
・洞調律
・開胸・気腹・腹臥位では不正確
・右心不全では使えない</t>
    </r>
  </si>
  <si>
    <t xml:space="preserve">筋弛緩モニタ</t>
  </si>
  <si>
    <t xml:space="preserve">筋弛緩モニタの装着部位と注意点は。</t>
  </si>
  <si>
    <r>
      <rPr>
        <sz val="11"/>
        <rFont val="Noto Sans CJK SC"/>
        <family val="2"/>
      </rPr>
      <t xml:space="preserve">・尺骨神経刺激・母指内転筋が標準
・キャリブレーションを行う
・眼輪筋・皺眉筋は横隔膜に近く、回復を過大評価する
・体位・体温・電極の位置で変わる
・抜管前は</t>
    </r>
    <r>
      <rPr>
        <sz val="11"/>
        <rFont val="游ゴシック"/>
        <family val="0"/>
        <charset val="1"/>
      </rPr>
      <t xml:space="preserve">TOF</t>
    </r>
    <r>
      <rPr>
        <sz val="11"/>
        <rFont val="Noto Sans CJK SC"/>
        <family val="2"/>
      </rPr>
      <t xml:space="preserve">比</t>
    </r>
    <r>
      <rPr>
        <sz val="11"/>
        <rFont val="游ゴシック"/>
        <family val="0"/>
        <charset val="1"/>
      </rPr>
      <t xml:space="preserve">0.9</t>
    </r>
    <r>
      <rPr>
        <sz val="11"/>
        <rFont val="Noto Sans CJK SC"/>
        <family val="2"/>
      </rPr>
      <t xml:space="preserve">以上を確認</t>
    </r>
  </si>
  <si>
    <t xml:space="preserve">血液ガス</t>
  </si>
  <si>
    <t xml:space="preserve">術中の血液ガスで確認する項目は。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</si>
  <si>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pH
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PaCO2</t>
    </r>
    <r>
      <rPr>
        <sz val="11"/>
        <rFont val="Noto Sans CJK SC"/>
        <family val="2"/>
      </rPr>
      <t xml:space="preserve">（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との較差）
・</t>
    </r>
    <r>
      <rPr>
        <sz val="11"/>
        <rFont val="游ゴシック"/>
        <family val="0"/>
        <charset val="1"/>
      </rPr>
      <t xml:space="preserve">PaO2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P/F</t>
    </r>
    <r>
      <rPr>
        <sz val="11"/>
        <rFont val="Noto Sans CJK SC"/>
        <family val="2"/>
      </rPr>
      <t xml:space="preserve">比
・</t>
    </r>
    <r>
      <rPr>
        <sz val="11"/>
        <rFont val="游ゴシック"/>
        <family val="0"/>
        <charset val="1"/>
      </rPr>
      <t xml:space="preserve">HCO3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BE
</t>
    </r>
    <r>
      <rPr>
        <sz val="11"/>
        <rFont val="Noto Sans CJK SC"/>
        <family val="2"/>
      </rPr>
      <t xml:space="preserve">・乳酸
・</t>
    </r>
    <r>
      <rPr>
        <sz val="11"/>
        <rFont val="游ゴシック"/>
        <family val="0"/>
        <charset val="1"/>
      </rPr>
      <t xml:space="preserve">Hb
</t>
    </r>
    <r>
      <rPr>
        <sz val="11"/>
        <rFont val="Noto Sans CJK SC"/>
        <family val="2"/>
      </rPr>
      <t xml:space="preserve">・電解質（</t>
    </r>
    <r>
      <rPr>
        <sz val="11"/>
        <rFont val="游ゴシック"/>
        <family val="0"/>
        <charset val="1"/>
      </rPr>
      <t xml:space="preserve">K</t>
    </r>
    <r>
      <rPr>
        <sz val="11"/>
        <rFont val="Noto Sans CJK SC"/>
        <family val="2"/>
      </rPr>
      <t xml:space="preserve">、</t>
    </r>
    <r>
      <rPr>
        <sz val="11"/>
        <rFont val="游ゴシック"/>
        <family val="0"/>
        <charset val="1"/>
      </rPr>
      <t xml:space="preserve">Na</t>
    </r>
    <r>
      <rPr>
        <sz val="11"/>
        <rFont val="Noto Sans CJK SC"/>
        <family val="2"/>
      </rPr>
      <t xml:space="preserve">、イオン化</t>
    </r>
    <r>
      <rPr>
        <sz val="11"/>
        <rFont val="游ゴシック"/>
        <family val="0"/>
        <charset val="1"/>
      </rPr>
      <t xml:space="preserve">Ca</t>
    </r>
    <r>
      <rPr>
        <sz val="11"/>
        <rFont val="Noto Sans CJK SC"/>
        <family val="2"/>
      </rPr>
      <t xml:space="preserve">）
・血糖</t>
    </r>
  </si>
  <si>
    <r>
      <rPr>
        <sz val="11"/>
        <rFont val="游ゴシック"/>
        <family val="0"/>
        <charset val="1"/>
      </rPr>
      <t xml:space="preserve">SpO2</t>
    </r>
    <r>
      <rPr>
        <sz val="11"/>
        <rFont val="Noto Sans CJK SC"/>
        <family val="2"/>
      </rPr>
      <t xml:space="preserve">と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の役割の違いは。</t>
    </r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</si>
  <si>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SpO2</t>
    </r>
    <r>
      <rPr>
        <sz val="11"/>
        <rFont val="Noto Sans CJK SC"/>
        <family val="2"/>
      </rPr>
      <t xml:space="preserve">：酸素化の指標、異常の検出が遅れる
・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：換気と循環（心拍出量）の指標、異常を最も早く捉える
・気管挿管の確認は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波形が必須
・回路外れ・心停止は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で早期に気づく</t>
    </r>
  </si>
  <si>
    <t xml:space="preserve">加温装置</t>
  </si>
  <si>
    <t xml:space="preserve">加温装置による事故は。</t>
  </si>
  <si>
    <t xml:space="preserve">・温風のホースを直接体に当てることによる熱傷
・加温輸液の過熱
・清潔野の汚染・気流
・過加温による高体温
・小児・末梢循環不良例で起こりやすい</t>
  </si>
  <si>
    <t xml:space="preserve">小児麻酔</t>
  </si>
  <si>
    <t xml:space="preserve">術前</t>
  </si>
  <si>
    <t xml:space="preserve">小児の術前絶飲食時間の目安は。</t>
  </si>
  <si>
    <r>
      <rPr>
        <sz val="11"/>
        <rFont val="Noto Sans CJK SC"/>
        <family val="2"/>
      </rPr>
      <t xml:space="preserve">・清澄水 </t>
    </r>
    <r>
      <rPr>
        <sz val="11"/>
        <rFont val="游ゴシック"/>
        <family val="0"/>
        <charset val="1"/>
      </rPr>
      <t xml:space="preserve">2</t>
    </r>
    <r>
      <rPr>
        <sz val="11"/>
        <rFont val="Noto Sans CJK SC"/>
        <family val="2"/>
      </rPr>
      <t xml:space="preserve">時間
・母乳 </t>
    </r>
    <r>
      <rPr>
        <sz val="11"/>
        <rFont val="游ゴシック"/>
        <family val="0"/>
        <charset val="1"/>
      </rPr>
      <t xml:space="preserve">4</t>
    </r>
    <r>
      <rPr>
        <sz val="11"/>
        <rFont val="Noto Sans CJK SC"/>
        <family val="2"/>
      </rPr>
      <t xml:space="preserve">時間
・人工乳・軽食 </t>
    </r>
    <r>
      <rPr>
        <sz val="11"/>
        <rFont val="游ゴシック"/>
        <family val="0"/>
        <charset val="1"/>
      </rPr>
      <t xml:space="preserve">6</t>
    </r>
    <r>
      <rPr>
        <sz val="11"/>
        <rFont val="Noto Sans CJK SC"/>
        <family val="2"/>
      </rPr>
      <t xml:space="preserve">時間
・脂肪分の多い食事 </t>
    </r>
    <r>
      <rPr>
        <sz val="11"/>
        <rFont val="游ゴシック"/>
        <family val="0"/>
        <charset val="1"/>
      </rPr>
      <t xml:space="preserve">8</t>
    </r>
    <r>
      <rPr>
        <sz val="11"/>
        <rFont val="Noto Sans CJK SC"/>
        <family val="2"/>
      </rPr>
      <t xml:space="preserve">時間
・長すぎる絶飲食は低血糖・不機嫌・脱水</t>
    </r>
  </si>
  <si>
    <t xml:space="preserve">小児の気道の解剖学的特徴は。</t>
  </si>
  <si>
    <r>
      <rPr>
        <sz val="11"/>
        <rFont val="Noto Sans CJK SC"/>
        <family val="2"/>
      </rPr>
      <t xml:space="preserve">・頭部・舌が大きい
・喉頭が高位で前方にある
・喉頭蓋が大きく</t>
    </r>
    <r>
      <rPr>
        <sz val="11"/>
        <rFont val="游ゴシック"/>
        <family val="0"/>
        <charset val="1"/>
      </rPr>
      <t xml:space="preserve">U</t>
    </r>
    <r>
      <rPr>
        <sz val="11"/>
        <rFont val="Noto Sans CJK SC"/>
        <family val="2"/>
      </rPr>
      <t xml:space="preserve">字型
・乳児では輪状軟骨部が最狭部
・気管が短く片肺挿管しやすい
・鼻呼吸が主体
・気道が細く浮腫の影響が大きい</t>
    </r>
  </si>
  <si>
    <t xml:space="preserve">小児の気管チューブのサイズと深さの目安は。</t>
  </si>
  <si>
    <r>
      <rPr>
        <sz val="11"/>
        <rFont val="Noto Sans CJK SC"/>
        <family val="2"/>
      </rPr>
      <t xml:space="preserve">・内径＝年齢</t>
    </r>
    <r>
      <rPr>
        <sz val="11"/>
        <rFont val="游ゴシック"/>
        <family val="0"/>
        <charset val="1"/>
      </rPr>
      <t xml:space="preserve">/4</t>
    </r>
    <r>
      <rPr>
        <sz val="11"/>
        <rFont val="Noto Sans CJK SC"/>
        <family val="2"/>
      </rPr>
      <t xml:space="preserve">＋</t>
    </r>
    <r>
      <rPr>
        <sz val="11"/>
        <rFont val="游ゴシック"/>
        <family val="0"/>
        <charset val="1"/>
      </rPr>
      <t xml:space="preserve">4</t>
    </r>
    <r>
      <rPr>
        <sz val="11"/>
        <rFont val="Noto Sans CJK SC"/>
        <family val="2"/>
      </rPr>
      <t xml:space="preserve">（カフ付きは</t>
    </r>
    <r>
      <rPr>
        <sz val="11"/>
        <rFont val="游ゴシック"/>
        <family val="0"/>
        <charset val="1"/>
      </rPr>
      <t xml:space="preserve">0.5</t>
    </r>
    <r>
      <rPr>
        <sz val="11"/>
        <rFont val="Noto Sans CJK SC"/>
        <family val="2"/>
      </rPr>
      <t xml:space="preserve">小さく）
・挿入長＝内径</t>
    </r>
    <r>
      <rPr>
        <sz val="11"/>
        <rFont val="游ゴシック"/>
        <family val="0"/>
        <charset val="1"/>
      </rPr>
      <t xml:space="preserve">×3cm
</t>
    </r>
    <r>
      <rPr>
        <sz val="11"/>
        <rFont val="Noto Sans CJK SC"/>
        <family val="2"/>
      </rPr>
      <t xml:space="preserve">・新生児は内径</t>
    </r>
    <r>
      <rPr>
        <sz val="11"/>
        <rFont val="游ゴシック"/>
        <family val="0"/>
        <charset val="1"/>
      </rPr>
      <t xml:space="preserve">3.0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3.5mm
</t>
    </r>
    <r>
      <rPr>
        <sz val="11"/>
        <rFont val="Noto Sans CJK SC"/>
        <family val="2"/>
      </rPr>
      <t xml:space="preserve">・リークの確認
・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サイズ上下を準備</t>
    </r>
  </si>
  <si>
    <t xml:space="preserve">喉頭痙攣の対応は。</t>
  </si>
  <si>
    <r>
      <rPr>
        <sz val="11"/>
        <rFont val="Noto Sans CJK SC"/>
        <family val="2"/>
      </rPr>
      <t xml:space="preserve">・刺激（吸引・操作）を中止
・</t>
    </r>
    <r>
      <rPr>
        <sz val="11"/>
        <rFont val="游ゴシック"/>
        <family val="0"/>
        <charset val="1"/>
      </rPr>
      <t xml:space="preserve">100%</t>
    </r>
    <r>
      <rPr>
        <sz val="11"/>
        <rFont val="Noto Sans CJK SC"/>
        <family val="2"/>
      </rPr>
      <t xml:space="preserve">酸素と下顎挙上・持続陽圧
・麻酔を深くする（プロポフォール</t>
    </r>
    <r>
      <rPr>
        <sz val="11"/>
        <rFont val="游ゴシック"/>
        <family val="0"/>
        <charset val="1"/>
      </rPr>
      <t xml:space="preserve">0.5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1mg/kg</t>
    </r>
    <r>
      <rPr>
        <sz val="11"/>
        <rFont val="Noto Sans CJK SC"/>
        <family val="2"/>
      </rPr>
      <t xml:space="preserve">）
・改善なければスキサメトニウム（静注</t>
    </r>
    <r>
      <rPr>
        <sz val="11"/>
        <rFont val="游ゴシック"/>
        <family val="0"/>
        <charset val="1"/>
      </rPr>
      <t xml:space="preserve">0.5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1mg/kg</t>
    </r>
    <r>
      <rPr>
        <sz val="11"/>
        <rFont val="Noto Sans CJK SC"/>
        <family val="2"/>
      </rPr>
      <t xml:space="preserve">、静脈路がなければ筋注</t>
    </r>
    <r>
      <rPr>
        <sz val="11"/>
        <rFont val="游ゴシック"/>
        <family val="0"/>
        <charset val="1"/>
      </rPr>
      <t xml:space="preserve">4mg/kg</t>
    </r>
    <r>
      <rPr>
        <sz val="11"/>
        <rFont val="Noto Sans CJK SC"/>
        <family val="2"/>
      </rPr>
      <t xml:space="preserve">）
・アトロピン併用
・陰圧性肺水腫に注意</t>
    </r>
  </si>
  <si>
    <r>
      <rPr>
        <sz val="11"/>
        <rFont val="Noto Sans CJK SC"/>
        <family val="2"/>
      </rPr>
      <t xml:space="preserve">小児の維持輸液量（</t>
    </r>
    <r>
      <rPr>
        <sz val="11"/>
        <rFont val="游ゴシック"/>
        <family val="0"/>
        <charset val="1"/>
      </rPr>
      <t xml:space="preserve">4-2-1</t>
    </r>
    <r>
      <rPr>
        <sz val="11"/>
        <rFont val="Noto Sans CJK SC"/>
        <family val="2"/>
      </rPr>
      <t xml:space="preserve">ルール）は。</t>
    </r>
  </si>
  <si>
    <r>
      <rPr>
        <sz val="11"/>
        <rFont val="Noto Sans CJK SC"/>
        <family val="2"/>
      </rPr>
      <t xml:space="preserve">・最初の</t>
    </r>
    <r>
      <rPr>
        <sz val="11"/>
        <rFont val="游ゴシック"/>
        <family val="0"/>
        <charset val="1"/>
      </rPr>
      <t xml:space="preserve">10kg</t>
    </r>
    <r>
      <rPr>
        <sz val="11"/>
        <rFont val="Noto Sans CJK SC"/>
        <family val="2"/>
      </rPr>
      <t xml:space="preserve">：</t>
    </r>
    <r>
      <rPr>
        <sz val="11"/>
        <rFont val="游ゴシック"/>
        <family val="0"/>
        <charset val="1"/>
      </rPr>
      <t xml:space="preserve">4mL/kg/h
</t>
    </r>
    <r>
      <rPr>
        <sz val="11"/>
        <rFont val="Noto Sans CJK SC"/>
        <family val="2"/>
      </rPr>
      <t xml:space="preserve">・次の</t>
    </r>
    <r>
      <rPr>
        <sz val="11"/>
        <rFont val="游ゴシック"/>
        <family val="0"/>
        <charset val="1"/>
      </rPr>
      <t xml:space="preserve">10kg</t>
    </r>
    <r>
      <rPr>
        <sz val="11"/>
        <rFont val="Noto Sans CJK SC"/>
        <family val="2"/>
      </rPr>
      <t xml:space="preserve">：</t>
    </r>
    <r>
      <rPr>
        <sz val="11"/>
        <rFont val="游ゴシック"/>
        <family val="0"/>
        <charset val="1"/>
      </rPr>
      <t xml:space="preserve">2mL/kg/h
</t>
    </r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20kg</t>
    </r>
    <r>
      <rPr>
        <sz val="11"/>
        <rFont val="Noto Sans CJK SC"/>
        <family val="2"/>
      </rPr>
      <t xml:space="preserve">を超える分：</t>
    </r>
    <r>
      <rPr>
        <sz val="11"/>
        <rFont val="游ゴシック"/>
        <family val="0"/>
        <charset val="1"/>
      </rPr>
      <t xml:space="preserve">1mL/kg/h
</t>
    </r>
    <r>
      <rPr>
        <sz val="11"/>
        <rFont val="Noto Sans CJK SC"/>
        <family val="2"/>
      </rPr>
      <t xml:space="preserve">・例）</t>
    </r>
    <r>
      <rPr>
        <sz val="11"/>
        <rFont val="游ゴシック"/>
        <family val="0"/>
        <charset val="1"/>
      </rPr>
      <t xml:space="preserve">25kg</t>
    </r>
    <r>
      <rPr>
        <sz val="11"/>
        <rFont val="Noto Sans CJK SC"/>
        <family val="2"/>
      </rPr>
      <t xml:space="preserve">なら</t>
    </r>
    <r>
      <rPr>
        <sz val="11"/>
        <rFont val="游ゴシック"/>
        <family val="0"/>
        <charset val="1"/>
      </rPr>
      <t xml:space="preserve">65mL/h
</t>
    </r>
    <r>
      <rPr>
        <sz val="11"/>
        <rFont val="Noto Sans CJK SC"/>
        <family val="2"/>
      </rPr>
      <t xml:space="preserve">・低血糖に注意（乳児はブドウ糖含有液）</t>
    </r>
  </si>
  <si>
    <t xml:space="preserve">小児の循環の特徴は。</t>
  </si>
  <si>
    <r>
      <rPr>
        <sz val="11"/>
        <rFont val="Noto Sans CJK SC"/>
        <family val="2"/>
      </rPr>
      <t xml:space="preserve">・心拍出量が心拍数に依存する
・徐脈はまず低酸素を疑う
・血圧低下は代償の破綻後に遅れて現れる
・循環血液量：新生児</t>
    </r>
    <r>
      <rPr>
        <sz val="11"/>
        <rFont val="游ゴシック"/>
        <family val="0"/>
        <charset val="1"/>
      </rPr>
      <t xml:space="preserve">80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90mL/kg</t>
    </r>
    <r>
      <rPr>
        <sz val="11"/>
        <rFont val="Noto Sans CJK SC"/>
        <family val="2"/>
      </rPr>
      <t xml:space="preserve">、乳児</t>
    </r>
    <r>
      <rPr>
        <sz val="11"/>
        <rFont val="游ゴシック"/>
        <family val="0"/>
        <charset val="1"/>
      </rPr>
      <t xml:space="preserve">75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80mL/kg
</t>
    </r>
    <r>
      <rPr>
        <sz val="11"/>
        <rFont val="Noto Sans CJK SC"/>
        <family val="2"/>
      </rPr>
      <t xml:space="preserve">・出血の許容量が少ない</t>
    </r>
  </si>
  <si>
    <t xml:space="preserve">急変</t>
  </si>
  <si>
    <t xml:space="preserve">小児の術中徐脈・低酸素への対応は。</t>
  </si>
  <si>
    <r>
      <rPr>
        <sz val="11"/>
        <rFont val="Noto Sans CJK SC"/>
        <family val="2"/>
      </rPr>
      <t xml:space="preserve">・まず換気と酸素化を確認（気道が原因のことが多い）
・</t>
    </r>
    <r>
      <rPr>
        <sz val="11"/>
        <rFont val="游ゴシック"/>
        <family val="0"/>
        <charset val="1"/>
      </rPr>
      <t xml:space="preserve">100%</t>
    </r>
    <r>
      <rPr>
        <sz val="11"/>
        <rFont val="Noto Sans CJK SC"/>
        <family val="2"/>
      </rPr>
      <t xml:space="preserve">酸素で用手換気
・アトロピン </t>
    </r>
    <r>
      <rPr>
        <sz val="11"/>
        <rFont val="游ゴシック"/>
        <family val="0"/>
        <charset val="1"/>
      </rPr>
      <t xml:space="preserve">0.02mg/kg
</t>
    </r>
    <r>
      <rPr>
        <sz val="11"/>
        <rFont val="Noto Sans CJK SC"/>
        <family val="2"/>
      </rPr>
      <t xml:space="preserve">・心拍</t>
    </r>
    <r>
      <rPr>
        <sz val="11"/>
        <rFont val="游ゴシック"/>
        <family val="0"/>
        <charset val="1"/>
      </rPr>
      <t xml:space="preserve">60/</t>
    </r>
    <r>
      <rPr>
        <sz val="11"/>
        <rFont val="Noto Sans CJK SC"/>
        <family val="2"/>
      </rPr>
      <t xml:space="preserve">分未満で反応不良なら胸骨圧迫
・アドレナリン </t>
    </r>
    <r>
      <rPr>
        <sz val="11"/>
        <rFont val="游ゴシック"/>
        <family val="0"/>
        <charset val="1"/>
      </rPr>
      <t xml:space="preserve">10μg/kg
</t>
    </r>
    <r>
      <rPr>
        <sz val="11"/>
        <rFont val="Noto Sans CJK SC"/>
        <family val="2"/>
      </rPr>
      <t xml:space="preserve">・原因検索（挿管位置、気胸、迷走反射）</t>
    </r>
  </si>
  <si>
    <t xml:space="preserve">薬用量</t>
  </si>
  <si>
    <t xml:space="preserve">小児でよく使う薬の体重あたりの用量は。</t>
  </si>
  <si>
    <r>
      <rPr>
        <sz val="11"/>
        <rFont val="Noto Sans CJK SC"/>
        <family val="2"/>
      </rPr>
      <t xml:space="preserve">・プロポフォール </t>
    </r>
    <r>
      <rPr>
        <sz val="11"/>
        <rFont val="游ゴシック"/>
        <family val="0"/>
        <charset val="1"/>
      </rPr>
      <t xml:space="preserve">2.5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3mg/kg
</t>
    </r>
    <r>
      <rPr>
        <sz val="11"/>
        <rFont val="Noto Sans CJK SC"/>
        <family val="2"/>
      </rPr>
      <t xml:space="preserve">・ロクロニウム </t>
    </r>
    <r>
      <rPr>
        <sz val="11"/>
        <rFont val="游ゴシック"/>
        <family val="0"/>
        <charset val="1"/>
      </rPr>
      <t xml:space="preserve">0.6mg/kg
</t>
    </r>
    <r>
      <rPr>
        <sz val="11"/>
        <rFont val="Noto Sans CJK SC"/>
        <family val="2"/>
      </rPr>
      <t xml:space="preserve">・フェンタニル 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2μg/kg
</t>
    </r>
    <r>
      <rPr>
        <sz val="11"/>
        <rFont val="Noto Sans CJK SC"/>
        <family val="2"/>
      </rPr>
      <t xml:space="preserve">・アトロピン </t>
    </r>
    <r>
      <rPr>
        <sz val="11"/>
        <rFont val="游ゴシック"/>
        <family val="0"/>
        <charset val="1"/>
      </rPr>
      <t xml:space="preserve">0.02mg/kg</t>
    </r>
    <r>
      <rPr>
        <sz val="11"/>
        <rFont val="Noto Sans CJK SC"/>
        <family val="2"/>
      </rPr>
      <t xml:space="preserve">（最小</t>
    </r>
    <r>
      <rPr>
        <sz val="11"/>
        <rFont val="游ゴシック"/>
        <family val="0"/>
        <charset val="1"/>
      </rPr>
      <t xml:space="preserve">0.1mg</t>
    </r>
    <r>
      <rPr>
        <sz val="11"/>
        <rFont val="Noto Sans CJK SC"/>
        <family val="2"/>
      </rPr>
      <t xml:space="preserve">）
・アセトアミノフェン </t>
    </r>
    <r>
      <rPr>
        <sz val="11"/>
        <rFont val="游ゴシック"/>
        <family val="0"/>
        <charset val="1"/>
      </rPr>
      <t xml:space="preserve">10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15mg/kg
</t>
    </r>
    <r>
      <rPr>
        <sz val="11"/>
        <rFont val="Noto Sans CJK SC"/>
        <family val="2"/>
      </rPr>
      <t xml:space="preserve">・成人より体重あたりの必要量が多い</t>
    </r>
  </si>
  <si>
    <r>
      <rPr>
        <sz val="11"/>
        <rFont val="Noto Sans CJK SC"/>
        <family val="2"/>
      </rPr>
      <t xml:space="preserve">覚醒時興奮（</t>
    </r>
    <r>
      <rPr>
        <sz val="11"/>
        <rFont val="游ゴシック"/>
        <family val="0"/>
        <charset val="1"/>
      </rPr>
      <t xml:space="preserve">emergence delirium</t>
    </r>
    <r>
      <rPr>
        <sz val="11"/>
        <rFont val="Noto Sans CJK SC"/>
        <family val="2"/>
      </rPr>
      <t xml:space="preserve">）の予防は。</t>
    </r>
  </si>
  <si>
    <t xml:space="preserve">・十分な鎮痛（痛みとの鑑別）
・セボフルラン単独を避けプロポフォールで終了
・デクスメデトミジン
・静かな環境・親の付き添い
・自己抜去・転落に注意</t>
  </si>
  <si>
    <t xml:space="preserve">小児の術後に起こりやすい合併症は。</t>
  </si>
  <si>
    <r>
      <rPr>
        <sz val="11"/>
        <rFont val="Noto Sans CJK SC"/>
        <family val="2"/>
      </rPr>
      <t xml:space="preserve">・喉頭痙攣・上気道閉塞
・喉頭浮腫（クループ様症状）
・低体温
・</t>
    </r>
    <r>
      <rPr>
        <sz val="11"/>
        <rFont val="游ゴシック"/>
        <family val="0"/>
        <charset val="1"/>
      </rPr>
      <t xml:space="preserve">PONV
</t>
    </r>
    <r>
      <rPr>
        <sz val="11"/>
        <rFont val="Noto Sans CJK SC"/>
        <family val="2"/>
      </rPr>
      <t xml:space="preserve">・覚醒時興奮
・低血糖
・早産児の無呼吸</t>
    </r>
  </si>
  <si>
    <t xml:space="preserve">元早産児の術後無呼吸への対応は。</t>
  </si>
  <si>
    <r>
      <rPr>
        <sz val="11"/>
        <rFont val="Noto Sans CJK SC"/>
        <family val="2"/>
      </rPr>
      <t xml:space="preserve">・修正在胎</t>
    </r>
    <r>
      <rPr>
        <sz val="11"/>
        <rFont val="游ゴシック"/>
        <family val="0"/>
        <charset val="1"/>
      </rPr>
      <t xml:space="preserve">60</t>
    </r>
    <r>
      <rPr>
        <sz val="11"/>
        <rFont val="Noto Sans CJK SC"/>
        <family val="2"/>
      </rPr>
      <t xml:space="preserve">週未満はリスクが高い
・術後</t>
    </r>
    <r>
      <rPr>
        <sz val="11"/>
        <rFont val="游ゴシック"/>
        <family val="0"/>
        <charset val="1"/>
      </rPr>
      <t xml:space="preserve">24</t>
    </r>
    <r>
      <rPr>
        <sz val="11"/>
        <rFont val="Noto Sans CJK SC"/>
        <family val="2"/>
      </rPr>
      <t xml:space="preserve">時間のモニタリング（</t>
    </r>
    <r>
      <rPr>
        <sz val="11"/>
        <rFont val="游ゴシック"/>
        <family val="0"/>
        <charset val="1"/>
      </rPr>
      <t xml:space="preserve">SpO2</t>
    </r>
    <r>
      <rPr>
        <sz val="11"/>
        <rFont val="Noto Sans CJK SC"/>
        <family val="2"/>
      </rPr>
      <t xml:space="preserve">・無呼吸）
・日帰り手術は避ける
・可能なら区域麻酔（脊椎麻酔）
・カフェインの投与</t>
    </r>
  </si>
  <si>
    <t xml:space="preserve">術前評価</t>
  </si>
  <si>
    <t xml:space="preserve">上気道感染のある小児の手術可否の判断は。</t>
  </si>
  <si>
    <r>
      <rPr>
        <sz val="11"/>
        <rFont val="Noto Sans CJK SC"/>
        <family val="2"/>
      </rPr>
      <t xml:space="preserve">・発熱・膿性鼻汁・湿性咳嗽・全身状態不良なら</t>
    </r>
    <r>
      <rPr>
        <sz val="11"/>
        <rFont val="游ゴシック"/>
        <family val="0"/>
        <charset val="1"/>
      </rPr>
      <t xml:space="preserve">2</t>
    </r>
    <r>
      <rPr>
        <sz val="11"/>
        <rFont val="Noto Sans CJK SC"/>
        <family val="2"/>
      </rPr>
      <t xml:space="preserve">〜</t>
    </r>
    <r>
      <rPr>
        <sz val="11"/>
        <rFont val="游ゴシック"/>
        <family val="0"/>
        <charset val="1"/>
      </rPr>
      <t xml:space="preserve">4</t>
    </r>
    <r>
      <rPr>
        <sz val="11"/>
        <rFont val="Noto Sans CJK SC"/>
        <family val="2"/>
      </rPr>
      <t xml:space="preserve">週間延期
・軽症の鼻汁のみなら個別に判断
・気道合併症（喉頭痙攣、気管支痙攣、脱飽和）が増える
・可能ならマスクやラリンジアルマスクを選択
・気道刺激を減らす</t>
    </r>
  </si>
  <si>
    <t xml:space="preserve">小児の体温管理の注意点は。</t>
  </si>
  <si>
    <t xml:space="preserve">・体重あたりの体表面積が大きく低体温になりやすい
・室温を上げる
・温風加温・輸液加温
・頭部からの熱喪失が大きい
・乳児では過加温にも注意</t>
  </si>
  <si>
    <t xml:space="preserve">導入</t>
  </si>
  <si>
    <t xml:space="preserve">小児の緩徐導入（吸入導入）の注意点は。</t>
  </si>
  <si>
    <t xml:space="preserve">・セボフルランで導入
・興奮期の体動・喉頭痙攣
・静脈路確保は入眠後
・保護者の付き添い・プレメディケーション
・導入時の徐脈・血圧低下
・満胃例では行わない</t>
  </si>
  <si>
    <t xml:space="preserve">小児の仙骨硬膜外ブロックの適応と注意点は。</t>
  </si>
  <si>
    <t xml:space="preserve">・下腹部・鼠径部・下肢の手術
・全身麻酔下に施行する
・局所麻酔薬の体重あたり最大量を厳守
・局所麻酔薬中毒
・血管内・くも膜下への誤注入
・感染・穿刺部位の異常</t>
  </si>
  <si>
    <t xml:space="preserve">分野</t>
  </si>
  <si>
    <t xml:space="preserve">答える数</t>
  </si>
  <si>
    <t xml:space="preserve">解答欄</t>
  </si>
  <si>
    <t xml:space="preserve">採点</t>
  </si>
  <si>
    <t xml:space="preserve">問題数</t>
  </si>
  <si>
    <t xml:space="preserve">構成比</t>
  </si>
  <si>
    <t xml:space="preserve">合計</t>
  </si>
  <si>
    <t xml:space="preserve">使い方・凡例</t>
  </si>
  <si>
    <t xml:space="preserve">■ シート構成</t>
  </si>
  <si>
    <t xml:space="preserve">問題一覧：設問と想定回答（キーワード）の本体。行のフィルタで分野別の抽出ができる。</t>
  </si>
  <si>
    <t xml:space="preserve">出題用（解答欄）：問題一覧を参照した受験者配布用。想定回答は表示されない。</t>
  </si>
  <si>
    <t xml:space="preserve">分野別集計：大分類ごとの問題数。</t>
  </si>
  <si>
    <t xml:space="preserve">■ 編集してよい列（問題一覧）</t>
  </si>
  <si>
    <r>
      <rPr>
        <sz val="11"/>
        <rFont val="游ゴシック"/>
        <family val="0"/>
        <charset val="1"/>
      </rPr>
      <t xml:space="preserve">D</t>
    </r>
    <r>
      <rPr>
        <sz val="11"/>
        <rFont val="Noto Sans CJK SC"/>
        <family val="2"/>
      </rPr>
      <t xml:space="preserve">列 設問／</t>
    </r>
    <r>
      <rPr>
        <sz val="11"/>
        <rFont val="游ゴシック"/>
        <family val="0"/>
        <charset val="1"/>
      </rPr>
      <t xml:space="preserve">E</t>
    </r>
    <r>
      <rPr>
        <sz val="11"/>
        <rFont val="Noto Sans CJK SC"/>
        <family val="2"/>
      </rPr>
      <t xml:space="preserve">列 想定回答／</t>
    </r>
    <r>
      <rPr>
        <sz val="11"/>
        <rFont val="游ゴシック"/>
        <family val="0"/>
        <charset val="1"/>
      </rPr>
      <t xml:space="preserve">H</t>
    </r>
    <r>
      <rPr>
        <sz val="11"/>
        <rFont val="Noto Sans CJK SC"/>
        <family val="2"/>
      </rPr>
      <t xml:space="preserve">列 難易度／</t>
    </r>
    <r>
      <rPr>
        <sz val="11"/>
        <rFont val="游ゴシック"/>
        <family val="0"/>
        <charset val="1"/>
      </rPr>
      <t xml:space="preserve">I</t>
    </r>
    <r>
      <rPr>
        <sz val="11"/>
        <rFont val="Noto Sans CJK SC"/>
        <family val="2"/>
      </rPr>
      <t xml:space="preserve">列 備考 は自由に書き換え可。</t>
    </r>
  </si>
  <si>
    <r>
      <rPr>
        <sz val="11"/>
        <rFont val="游ゴシック"/>
        <family val="0"/>
        <charset val="1"/>
      </rPr>
      <t xml:space="preserve">E</t>
    </r>
    <r>
      <rPr>
        <sz val="11"/>
        <rFont val="Noto Sans CJK SC"/>
        <family val="2"/>
      </rPr>
      <t xml:space="preserve">列は「・キーワード」を改行区切りで入力する（セル内改行は </t>
    </r>
    <r>
      <rPr>
        <sz val="11"/>
        <rFont val="游ゴシック"/>
        <family val="0"/>
        <charset val="1"/>
      </rPr>
      <t xml:space="preserve">Alt+Enter</t>
    </r>
    <r>
      <rPr>
        <sz val="11"/>
        <rFont val="Noto Sans CJK SC"/>
        <family val="2"/>
      </rPr>
      <t xml:space="preserve">）。</t>
    </r>
  </si>
  <si>
    <r>
      <rPr>
        <sz val="11"/>
        <rFont val="游ゴシック"/>
        <family val="0"/>
        <charset val="1"/>
      </rPr>
      <t xml:space="preserve">F</t>
    </r>
    <r>
      <rPr>
        <sz val="11"/>
        <rFont val="Noto Sans CJK SC"/>
        <family val="2"/>
      </rPr>
      <t xml:space="preserve">列 キーワード数 と </t>
    </r>
    <r>
      <rPr>
        <sz val="11"/>
        <rFont val="游ゴシック"/>
        <family val="0"/>
        <charset val="1"/>
      </rPr>
      <t xml:space="preserve">G</t>
    </r>
    <r>
      <rPr>
        <sz val="11"/>
        <rFont val="Noto Sans CJK SC"/>
        <family val="2"/>
      </rPr>
      <t xml:space="preserve">列 必要解答数 は数式。</t>
    </r>
    <r>
      <rPr>
        <sz val="11"/>
        <rFont val="游ゴシック"/>
        <family val="0"/>
        <charset val="1"/>
      </rPr>
      <t xml:space="preserve">E</t>
    </r>
    <r>
      <rPr>
        <sz val="11"/>
        <rFont val="Noto Sans CJK SC"/>
        <family val="2"/>
      </rPr>
      <t xml:space="preserve">列を編集すると自動で再計算される。</t>
    </r>
  </si>
  <si>
    <r>
      <rPr>
        <sz val="11"/>
        <rFont val="游ゴシック"/>
        <family val="0"/>
        <charset val="1"/>
      </rPr>
      <t xml:space="preserve">G</t>
    </r>
    <r>
      <rPr>
        <sz val="11"/>
        <rFont val="Noto Sans CJK SC"/>
        <family val="2"/>
      </rPr>
      <t xml:space="preserve">列の既定は「キーワード数の</t>
    </r>
    <r>
      <rPr>
        <sz val="11"/>
        <rFont val="游ゴシック"/>
        <family val="0"/>
        <charset val="1"/>
      </rPr>
      <t xml:space="preserve">6</t>
    </r>
    <r>
      <rPr>
        <sz val="11"/>
        <rFont val="Noto Sans CJK SC"/>
        <family val="2"/>
      </rPr>
      <t xml:space="preserve">割・上限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個」。個別に上書きしてよい。</t>
    </r>
  </si>
  <si>
    <t xml:space="preserve">■ 記入例（この形式で入力する）</t>
  </si>
  <si>
    <r>
      <rPr>
        <sz val="11"/>
        <rFont val="Noto Sans CJK SC"/>
        <family val="2"/>
      </rPr>
      <t xml:space="preserve">設問：術中に</t>
    </r>
    <r>
      <rPr>
        <sz val="11"/>
        <rFont val="游ゴシック"/>
        <family val="0"/>
        <charset val="1"/>
      </rPr>
      <t xml:space="preserve">EtCO2</t>
    </r>
    <r>
      <rPr>
        <sz val="11"/>
        <rFont val="Noto Sans CJK SC"/>
        <family val="2"/>
      </rPr>
      <t xml:space="preserve">が上昇したらどうしますか。</t>
    </r>
  </si>
  <si>
    <t xml:space="preserve">想定回答：・分時換気量を上げる（改行）・無気肺があればリクルートメント（改行）・チューブの異常を確認</t>
  </si>
  <si>
    <r>
      <rPr>
        <sz val="11"/>
        <rFont val="Noto Sans CJK SC"/>
        <family val="2"/>
      </rPr>
      <t xml:space="preserve">→ キーワード数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、必要解答数</t>
    </r>
    <r>
      <rPr>
        <sz val="11"/>
        <rFont val="游ゴシック"/>
        <family val="0"/>
        <charset val="1"/>
      </rPr>
      <t xml:space="preserve">2 </t>
    </r>
    <r>
      <rPr>
        <sz val="11"/>
        <rFont val="Noto Sans CJK SC"/>
        <family val="2"/>
      </rPr>
      <t xml:space="preserve">と自動表示される。</t>
    </r>
  </si>
  <si>
    <t xml:space="preserve">■ 注意</t>
  </si>
  <si>
    <t xml:space="preserve">薬剤の用量は成人の一般的な目安であり、施設の基準や添付文書を優先すること。</t>
  </si>
  <si>
    <r>
      <rPr>
        <sz val="11"/>
        <rFont val="Noto Sans CJK SC"/>
        <family val="2"/>
      </rPr>
      <t xml:space="preserve">対象レベルは初期研修医。専攻医向けに使う場合は</t>
    </r>
    <r>
      <rPr>
        <sz val="11"/>
        <rFont val="游ゴシック"/>
        <family val="0"/>
        <charset val="1"/>
      </rPr>
      <t xml:space="preserve">H</t>
    </r>
    <r>
      <rPr>
        <sz val="11"/>
        <rFont val="Noto Sans CJK SC"/>
        <family val="2"/>
      </rPr>
      <t xml:space="preserve">列を書き換えて難易度を分けるとよい。</t>
    </r>
  </si>
  <si>
    <t xml:space="preserve">出典：作成者（麻酔科）の指定範囲に基づき作成。数値は代表的な成書・添付文書の一般的な範囲。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</si>
</sst>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游ゴシック"/>
      <family val="0"/>
      <charset val="1"/>
    </font>
    <font>
      <b val="true"/>
      <sz val="11"/>
      <color rgb="FFFFFFFF"/>
      <name val="Noto Sans CJK SC"/>
      <family val="2"/>
    </font>
    <font>
      <sz val="11"/>
      <name val="游ゴシック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游ゴシック"/>
      <family val="0"/>
      <charset val="1"/>
    </font>
    <font>
      <b val="true"/>
      <sz val="12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9F2E6"/>
      </patternFill>
    </fill>
    <fill>
      <patternFill patternType="solid">
        <fgColor rgb="FFE2EFDA"/>
        <bgColor rgb="FFD9F2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D9E1F2"/>
        <bgColor rgb="FFE4DFEC"/>
      </patternFill>
    </fill>
    <fill>
      <patternFill patternType="solid">
        <fgColor rgb="FFE4DFEC"/>
        <bgColor rgb="FFD9E1F2"/>
      </patternFill>
    </fill>
    <fill>
      <patternFill patternType="solid">
        <fgColor rgb="FFD9F2E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9F2E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F2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CE4D6"/>
      <rgbColor rgb="FFE4DFEC"/>
      <rgbColor rgb="FFEDEDED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62"/>
    <col collapsed="false" customWidth="true" hidden="false" outlineLevel="0" max="8" min="6" style="0" width="8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64.15" hidden="false" customHeight="false" outlineLevel="0" collapsed="false">
      <c r="A2" s="3" t="n">
        <v>1</v>
      </c>
      <c r="B2" s="4" t="s">
        <v>9</v>
      </c>
      <c r="C2" s="4" t="s">
        <v>10</v>
      </c>
      <c r="D2" s="5" t="s">
        <v>11</v>
      </c>
      <c r="E2" s="5" t="s">
        <v>12</v>
      </c>
      <c r="F2" s="3" t="n">
        <f aca="false">IF(E2="",0,LEN(E2)-LEN(SUBSTITUTE(E2,CHAR(10),""))+1)</f>
        <v>4</v>
      </c>
      <c r="G2" s="3" t="n">
        <f aca="false">MIN(3,MAX(1,ROUNDUP(F2*0.6,0)))</f>
        <v>3</v>
      </c>
      <c r="H2" s="6" t="s">
        <v>13</v>
      </c>
      <c r="I2" s="3"/>
    </row>
    <row r="3" customFormat="false" ht="111.15" hidden="false" customHeight="false" outlineLevel="0" collapsed="false">
      <c r="A3" s="3" t="n">
        <v>2</v>
      </c>
      <c r="B3" s="4" t="s">
        <v>9</v>
      </c>
      <c r="C3" s="4" t="s">
        <v>14</v>
      </c>
      <c r="D3" s="5" t="s">
        <v>15</v>
      </c>
      <c r="E3" s="5" t="s">
        <v>16</v>
      </c>
      <c r="F3" s="3" t="n">
        <f aca="false">IF(E3="",0,LEN(E3)-LEN(SUBSTITUTE(E3,CHAR(10),""))+1)</f>
        <v>7</v>
      </c>
      <c r="G3" s="3" t="n">
        <f aca="false">MIN(3,MAX(1,ROUNDUP(F3*0.6,0)))</f>
        <v>3</v>
      </c>
      <c r="H3" s="6" t="s">
        <v>13</v>
      </c>
      <c r="I3" s="3"/>
    </row>
    <row r="4" customFormat="false" ht="111.15" hidden="false" customHeight="false" outlineLevel="0" collapsed="false">
      <c r="A4" s="3" t="n">
        <v>3</v>
      </c>
      <c r="B4" s="4" t="s">
        <v>9</v>
      </c>
      <c r="C4" s="4" t="s">
        <v>17</v>
      </c>
      <c r="D4" s="5" t="s">
        <v>18</v>
      </c>
      <c r="E4" s="5" t="s">
        <v>19</v>
      </c>
      <c r="F4" s="3" t="n">
        <f aca="false">IF(E4="",0,LEN(E4)-LEN(SUBSTITUTE(E4,CHAR(10),""))+1)</f>
        <v>7</v>
      </c>
      <c r="G4" s="3" t="n">
        <f aca="false">MIN(3,MAX(1,ROUNDUP(F4*0.6,0)))</f>
        <v>3</v>
      </c>
      <c r="H4" s="6" t="s">
        <v>13</v>
      </c>
      <c r="I4" s="3"/>
    </row>
    <row r="5" customFormat="false" ht="64.15" hidden="false" customHeight="false" outlineLevel="0" collapsed="false">
      <c r="A5" s="3" t="n">
        <v>4</v>
      </c>
      <c r="B5" s="4" t="s">
        <v>9</v>
      </c>
      <c r="C5" s="4" t="s">
        <v>20</v>
      </c>
      <c r="D5" s="7" t="s">
        <v>21</v>
      </c>
      <c r="E5" s="5" t="s">
        <v>22</v>
      </c>
      <c r="F5" s="3" t="n">
        <f aca="false">IF(E5="",0,LEN(E5)-LEN(SUBSTITUTE(E5,CHAR(10),""))+1)</f>
        <v>4</v>
      </c>
      <c r="G5" s="3" t="n">
        <f aca="false">MIN(3,MAX(1,ROUNDUP(F5*0.6,0)))</f>
        <v>3</v>
      </c>
      <c r="H5" s="6" t="s">
        <v>13</v>
      </c>
      <c r="I5" s="3"/>
    </row>
    <row r="6" customFormat="false" ht="111.15" hidden="false" customHeight="false" outlineLevel="0" collapsed="false">
      <c r="A6" s="3" t="n">
        <v>5</v>
      </c>
      <c r="B6" s="4" t="s">
        <v>9</v>
      </c>
      <c r="C6" s="4" t="s">
        <v>20</v>
      </c>
      <c r="D6" s="7" t="s">
        <v>23</v>
      </c>
      <c r="E6" s="5" t="s">
        <v>24</v>
      </c>
      <c r="F6" s="3" t="n">
        <f aca="false">IF(E6="",0,LEN(E6)-LEN(SUBSTITUTE(E6,CHAR(10),""))+1)</f>
        <v>7</v>
      </c>
      <c r="G6" s="3" t="n">
        <f aca="false">MIN(3,MAX(1,ROUNDUP(F6*0.6,0)))</f>
        <v>3</v>
      </c>
      <c r="H6" s="6" t="s">
        <v>13</v>
      </c>
      <c r="I6" s="3"/>
    </row>
    <row r="7" customFormat="false" ht="126.85" hidden="false" customHeight="false" outlineLevel="0" collapsed="false">
      <c r="A7" s="3" t="n">
        <v>6</v>
      </c>
      <c r="B7" s="4" t="s">
        <v>9</v>
      </c>
      <c r="C7" s="4" t="s">
        <v>25</v>
      </c>
      <c r="D7" s="5" t="s">
        <v>26</v>
      </c>
      <c r="E7" s="5" t="s">
        <v>27</v>
      </c>
      <c r="F7" s="3" t="n">
        <f aca="false">IF(E7="",0,LEN(E7)-LEN(SUBSTITUTE(E7,CHAR(10),""))+1)</f>
        <v>8</v>
      </c>
      <c r="G7" s="3" t="n">
        <f aca="false">MIN(3,MAX(1,ROUNDUP(F7*0.6,0)))</f>
        <v>3</v>
      </c>
      <c r="H7" s="6" t="s">
        <v>13</v>
      </c>
      <c r="I7" s="3"/>
    </row>
    <row r="8" customFormat="false" ht="111.15" hidden="false" customHeight="false" outlineLevel="0" collapsed="false">
      <c r="A8" s="3" t="n">
        <v>7</v>
      </c>
      <c r="B8" s="4" t="s">
        <v>9</v>
      </c>
      <c r="C8" s="4" t="s">
        <v>25</v>
      </c>
      <c r="D8" s="5" t="s">
        <v>28</v>
      </c>
      <c r="E8" s="5" t="s">
        <v>29</v>
      </c>
      <c r="F8" s="3" t="n">
        <f aca="false">IF(E8="",0,LEN(E8)-LEN(SUBSTITUTE(E8,CHAR(10),""))+1)</f>
        <v>7</v>
      </c>
      <c r="G8" s="3" t="n">
        <f aca="false">MIN(3,MAX(1,ROUNDUP(F8*0.6,0)))</f>
        <v>3</v>
      </c>
      <c r="H8" s="6" t="s">
        <v>13</v>
      </c>
      <c r="I8" s="3"/>
    </row>
    <row r="9" customFormat="false" ht="95.5" hidden="false" customHeight="false" outlineLevel="0" collapsed="false">
      <c r="A9" s="3" t="n">
        <v>8</v>
      </c>
      <c r="B9" s="4" t="s">
        <v>9</v>
      </c>
      <c r="C9" s="4" t="s">
        <v>25</v>
      </c>
      <c r="D9" s="5" t="s">
        <v>30</v>
      </c>
      <c r="E9" s="5" t="s">
        <v>31</v>
      </c>
      <c r="F9" s="3" t="n">
        <f aca="false">IF(E9="",0,LEN(E9)-LEN(SUBSTITUTE(E9,CHAR(10),""))+1)</f>
        <v>6</v>
      </c>
      <c r="G9" s="3" t="n">
        <f aca="false">MIN(3,MAX(1,ROUNDUP(F9*0.6,0)))</f>
        <v>3</v>
      </c>
      <c r="H9" s="6" t="s">
        <v>13</v>
      </c>
      <c r="I9" s="3"/>
    </row>
    <row r="10" customFormat="false" ht="95.5" hidden="false" customHeight="false" outlineLevel="0" collapsed="false">
      <c r="A10" s="3" t="n">
        <v>9</v>
      </c>
      <c r="B10" s="4" t="s">
        <v>9</v>
      </c>
      <c r="C10" s="4" t="s">
        <v>32</v>
      </c>
      <c r="D10" s="5" t="s">
        <v>33</v>
      </c>
      <c r="E10" s="5" t="s">
        <v>34</v>
      </c>
      <c r="F10" s="3" t="n">
        <f aca="false">IF(E10="",0,LEN(E10)-LEN(SUBSTITUTE(E10,CHAR(10),""))+1)</f>
        <v>6</v>
      </c>
      <c r="G10" s="3" t="n">
        <f aca="false">MIN(3,MAX(1,ROUNDUP(F10*0.6,0)))</f>
        <v>3</v>
      </c>
      <c r="H10" s="6" t="s">
        <v>13</v>
      </c>
      <c r="I10" s="3"/>
    </row>
    <row r="11" customFormat="false" ht="95.5" hidden="false" customHeight="false" outlineLevel="0" collapsed="false">
      <c r="A11" s="3" t="n">
        <v>10</v>
      </c>
      <c r="B11" s="4" t="s">
        <v>9</v>
      </c>
      <c r="C11" s="4" t="s">
        <v>32</v>
      </c>
      <c r="D11" s="5" t="s">
        <v>35</v>
      </c>
      <c r="E11" s="5" t="s">
        <v>36</v>
      </c>
      <c r="F11" s="3" t="n">
        <f aca="false">IF(E11="",0,LEN(E11)-LEN(SUBSTITUTE(E11,CHAR(10),""))+1)</f>
        <v>6</v>
      </c>
      <c r="G11" s="3" t="n">
        <f aca="false">MIN(3,MAX(1,ROUNDUP(F11*0.6,0)))</f>
        <v>3</v>
      </c>
      <c r="H11" s="6" t="s">
        <v>13</v>
      </c>
      <c r="I11" s="3"/>
    </row>
    <row r="12" customFormat="false" ht="79.85" hidden="false" customHeight="false" outlineLevel="0" collapsed="false">
      <c r="A12" s="3" t="n">
        <v>11</v>
      </c>
      <c r="B12" s="4" t="s">
        <v>9</v>
      </c>
      <c r="C12" s="4" t="s">
        <v>37</v>
      </c>
      <c r="D12" s="5" t="s">
        <v>38</v>
      </c>
      <c r="E12" s="5" t="s">
        <v>39</v>
      </c>
      <c r="F12" s="3" t="n">
        <f aca="false">IF(E12="",0,LEN(E12)-LEN(SUBSTITUTE(E12,CHAR(10),""))+1)</f>
        <v>5</v>
      </c>
      <c r="G12" s="3" t="n">
        <f aca="false">MIN(3,MAX(1,ROUNDUP(F12*0.6,0)))</f>
        <v>3</v>
      </c>
      <c r="H12" s="6" t="s">
        <v>13</v>
      </c>
      <c r="I12" s="3"/>
    </row>
    <row r="13" customFormat="false" ht="95.5" hidden="false" customHeight="false" outlineLevel="0" collapsed="false">
      <c r="A13" s="3" t="n">
        <v>12</v>
      </c>
      <c r="B13" s="4" t="s">
        <v>9</v>
      </c>
      <c r="C13" s="4" t="s">
        <v>37</v>
      </c>
      <c r="D13" s="5" t="s">
        <v>40</v>
      </c>
      <c r="E13" s="5" t="s">
        <v>41</v>
      </c>
      <c r="F13" s="3" t="n">
        <f aca="false">IF(E13="",0,LEN(E13)-LEN(SUBSTITUTE(E13,CHAR(10),""))+1)</f>
        <v>6</v>
      </c>
      <c r="G13" s="3" t="n">
        <f aca="false">MIN(3,MAX(1,ROUNDUP(F13*0.6,0)))</f>
        <v>3</v>
      </c>
      <c r="H13" s="6" t="s">
        <v>13</v>
      </c>
      <c r="I13" s="3"/>
    </row>
    <row r="14" customFormat="false" ht="79.85" hidden="false" customHeight="false" outlineLevel="0" collapsed="false">
      <c r="A14" s="3" t="n">
        <v>13</v>
      </c>
      <c r="B14" s="4" t="s">
        <v>9</v>
      </c>
      <c r="C14" s="4" t="s">
        <v>42</v>
      </c>
      <c r="D14" s="5" t="s">
        <v>43</v>
      </c>
      <c r="E14" s="5" t="s">
        <v>44</v>
      </c>
      <c r="F14" s="3" t="n">
        <f aca="false">IF(E14="",0,LEN(E14)-LEN(SUBSTITUTE(E14,CHAR(10),""))+1)</f>
        <v>5</v>
      </c>
      <c r="G14" s="3" t="n">
        <f aca="false">MIN(3,MAX(1,ROUNDUP(F14*0.6,0)))</f>
        <v>3</v>
      </c>
      <c r="H14" s="6" t="s">
        <v>13</v>
      </c>
      <c r="I14" s="3"/>
    </row>
    <row r="15" customFormat="false" ht="79.85" hidden="false" customHeight="false" outlineLevel="0" collapsed="false">
      <c r="A15" s="3" t="n">
        <v>14</v>
      </c>
      <c r="B15" s="4" t="s">
        <v>9</v>
      </c>
      <c r="C15" s="4" t="s">
        <v>42</v>
      </c>
      <c r="D15" s="5" t="s">
        <v>45</v>
      </c>
      <c r="E15" s="5" t="s">
        <v>46</v>
      </c>
      <c r="F15" s="3" t="n">
        <f aca="false">IF(E15="",0,LEN(E15)-LEN(SUBSTITUTE(E15,CHAR(10),""))+1)</f>
        <v>5</v>
      </c>
      <c r="G15" s="3" t="n">
        <f aca="false">MIN(3,MAX(1,ROUNDUP(F15*0.6,0)))</f>
        <v>3</v>
      </c>
      <c r="H15" s="6" t="s">
        <v>13</v>
      </c>
      <c r="I15" s="3"/>
    </row>
    <row r="16" customFormat="false" ht="95.5" hidden="false" customHeight="false" outlineLevel="0" collapsed="false">
      <c r="A16" s="3" t="n">
        <v>15</v>
      </c>
      <c r="B16" s="4" t="s">
        <v>9</v>
      </c>
      <c r="C16" s="4" t="s">
        <v>47</v>
      </c>
      <c r="D16" s="5" t="s">
        <v>48</v>
      </c>
      <c r="E16" s="5" t="s">
        <v>49</v>
      </c>
      <c r="F16" s="3" t="n">
        <f aca="false">IF(E16="",0,LEN(E16)-LEN(SUBSTITUTE(E16,CHAR(10),""))+1)</f>
        <v>6</v>
      </c>
      <c r="G16" s="3" t="n">
        <f aca="false">MIN(3,MAX(1,ROUNDUP(F16*0.6,0)))</f>
        <v>3</v>
      </c>
      <c r="H16" s="6" t="s">
        <v>13</v>
      </c>
      <c r="I16" s="3"/>
    </row>
    <row r="17" customFormat="false" ht="111.15" hidden="false" customHeight="false" outlineLevel="0" collapsed="false">
      <c r="A17" s="3" t="n">
        <v>16</v>
      </c>
      <c r="B17" s="4" t="s">
        <v>9</v>
      </c>
      <c r="C17" s="4" t="s">
        <v>50</v>
      </c>
      <c r="D17" s="5" t="s">
        <v>51</v>
      </c>
      <c r="E17" s="5" t="s">
        <v>52</v>
      </c>
      <c r="F17" s="3" t="n">
        <f aca="false">IF(E17="",0,LEN(E17)-LEN(SUBSTITUTE(E17,CHAR(10),""))+1)</f>
        <v>7</v>
      </c>
      <c r="G17" s="3" t="n">
        <f aca="false">MIN(3,MAX(1,ROUNDUP(F17*0.6,0)))</f>
        <v>3</v>
      </c>
      <c r="H17" s="6" t="s">
        <v>13</v>
      </c>
      <c r="I17" s="3"/>
    </row>
    <row r="18" customFormat="false" ht="95.5" hidden="false" customHeight="false" outlineLevel="0" collapsed="false">
      <c r="A18" s="3" t="n">
        <v>17</v>
      </c>
      <c r="B18" s="4" t="s">
        <v>9</v>
      </c>
      <c r="C18" s="4" t="s">
        <v>53</v>
      </c>
      <c r="D18" s="5" t="s">
        <v>54</v>
      </c>
      <c r="E18" s="5" t="s">
        <v>55</v>
      </c>
      <c r="F18" s="3" t="n">
        <f aca="false">IF(E18="",0,LEN(E18)-LEN(SUBSTITUTE(E18,CHAR(10),""))+1)</f>
        <v>6</v>
      </c>
      <c r="G18" s="3" t="n">
        <f aca="false">MIN(3,MAX(1,ROUNDUP(F18*0.6,0)))</f>
        <v>3</v>
      </c>
      <c r="H18" s="6" t="s">
        <v>13</v>
      </c>
      <c r="I18" s="3"/>
    </row>
    <row r="19" customFormat="false" ht="111.15" hidden="false" customHeight="false" outlineLevel="0" collapsed="false">
      <c r="A19" s="3" t="n">
        <v>18</v>
      </c>
      <c r="B19" s="4" t="s">
        <v>9</v>
      </c>
      <c r="C19" s="4" t="s">
        <v>56</v>
      </c>
      <c r="D19" s="5" t="s">
        <v>57</v>
      </c>
      <c r="E19" s="5" t="s">
        <v>58</v>
      </c>
      <c r="F19" s="3" t="n">
        <f aca="false">IF(E19="",0,LEN(E19)-LEN(SUBSTITUTE(E19,CHAR(10),""))+1)</f>
        <v>7</v>
      </c>
      <c r="G19" s="3" t="n">
        <f aca="false">MIN(3,MAX(1,ROUNDUP(F19*0.6,0)))</f>
        <v>3</v>
      </c>
      <c r="H19" s="6" t="s">
        <v>13</v>
      </c>
      <c r="I19" s="3"/>
    </row>
    <row r="20" customFormat="false" ht="111.15" hidden="false" customHeight="false" outlineLevel="0" collapsed="false">
      <c r="A20" s="3" t="n">
        <v>19</v>
      </c>
      <c r="B20" s="4" t="s">
        <v>9</v>
      </c>
      <c r="C20" s="4" t="s">
        <v>59</v>
      </c>
      <c r="D20" s="5" t="s">
        <v>60</v>
      </c>
      <c r="E20" s="5" t="s">
        <v>61</v>
      </c>
      <c r="F20" s="3" t="n">
        <f aca="false">IF(E20="",0,LEN(E20)-LEN(SUBSTITUTE(E20,CHAR(10),""))+1)</f>
        <v>7</v>
      </c>
      <c r="G20" s="3" t="n">
        <f aca="false">MIN(3,MAX(1,ROUNDUP(F20*0.6,0)))</f>
        <v>3</v>
      </c>
      <c r="H20" s="6" t="s">
        <v>13</v>
      </c>
      <c r="I20" s="3"/>
    </row>
    <row r="21" customFormat="false" ht="79.85" hidden="false" customHeight="false" outlineLevel="0" collapsed="false">
      <c r="A21" s="3" t="n">
        <v>20</v>
      </c>
      <c r="B21" s="4" t="s">
        <v>9</v>
      </c>
      <c r="C21" s="4" t="s">
        <v>62</v>
      </c>
      <c r="D21" s="5" t="s">
        <v>63</v>
      </c>
      <c r="E21" s="5" t="s">
        <v>64</v>
      </c>
      <c r="F21" s="3" t="n">
        <f aca="false">IF(E21="",0,LEN(E21)-LEN(SUBSTITUTE(E21,CHAR(10),""))+1)</f>
        <v>4</v>
      </c>
      <c r="G21" s="3" t="n">
        <f aca="false">MIN(3,MAX(1,ROUNDUP(F21*0.6,0)))</f>
        <v>3</v>
      </c>
      <c r="H21" s="6" t="s">
        <v>13</v>
      </c>
      <c r="I21" s="3"/>
    </row>
    <row r="22" customFormat="false" ht="111.15" hidden="false" customHeight="false" outlineLevel="0" collapsed="false">
      <c r="A22" s="3" t="n">
        <v>21</v>
      </c>
      <c r="B22" s="4" t="s">
        <v>9</v>
      </c>
      <c r="C22" s="4" t="s">
        <v>62</v>
      </c>
      <c r="D22" s="5" t="s">
        <v>65</v>
      </c>
      <c r="E22" s="5" t="s">
        <v>66</v>
      </c>
      <c r="F22" s="3" t="n">
        <f aca="false">IF(E22="",0,LEN(E22)-LEN(SUBSTITUTE(E22,CHAR(10),""))+1)</f>
        <v>7</v>
      </c>
      <c r="G22" s="3" t="n">
        <f aca="false">MIN(3,MAX(1,ROUNDUP(F22*0.6,0)))</f>
        <v>3</v>
      </c>
      <c r="H22" s="6" t="s">
        <v>13</v>
      </c>
      <c r="I22" s="3"/>
    </row>
    <row r="23" customFormat="false" ht="95.5" hidden="false" customHeight="false" outlineLevel="0" collapsed="false">
      <c r="A23" s="3" t="n">
        <v>22</v>
      </c>
      <c r="B23" s="4" t="s">
        <v>9</v>
      </c>
      <c r="C23" s="4" t="s">
        <v>62</v>
      </c>
      <c r="D23" s="5" t="s">
        <v>67</v>
      </c>
      <c r="E23" s="5" t="s">
        <v>68</v>
      </c>
      <c r="F23" s="3" t="n">
        <f aca="false">IF(E23="",0,LEN(E23)-LEN(SUBSTITUTE(E23,CHAR(10),""))+1)</f>
        <v>6</v>
      </c>
      <c r="G23" s="3" t="n">
        <f aca="false">MIN(3,MAX(1,ROUNDUP(F23*0.6,0)))</f>
        <v>3</v>
      </c>
      <c r="H23" s="6" t="s">
        <v>13</v>
      </c>
      <c r="I23" s="3"/>
    </row>
    <row r="24" customFormat="false" ht="48.5" hidden="false" customHeight="false" outlineLevel="0" collapsed="false">
      <c r="A24" s="3" t="n">
        <v>23</v>
      </c>
      <c r="B24" s="8" t="s">
        <v>69</v>
      </c>
      <c r="C24" s="8" t="s">
        <v>70</v>
      </c>
      <c r="D24" s="5" t="s">
        <v>71</v>
      </c>
      <c r="E24" s="5" t="s">
        <v>72</v>
      </c>
      <c r="F24" s="3" t="n">
        <f aca="false">IF(E24="",0,LEN(E24)-LEN(SUBSTITUTE(E24,CHAR(10),""))+1)</f>
        <v>3</v>
      </c>
      <c r="G24" s="3" t="n">
        <f aca="false">MIN(3,MAX(1,ROUNDUP(F24*0.6,0)))</f>
        <v>2</v>
      </c>
      <c r="H24" s="6" t="s">
        <v>13</v>
      </c>
      <c r="I24" s="3"/>
    </row>
    <row r="25" customFormat="false" ht="64.15" hidden="false" customHeight="false" outlineLevel="0" collapsed="false">
      <c r="A25" s="3" t="n">
        <v>24</v>
      </c>
      <c r="B25" s="8" t="s">
        <v>69</v>
      </c>
      <c r="C25" s="8" t="s">
        <v>70</v>
      </c>
      <c r="D25" s="5" t="s">
        <v>73</v>
      </c>
      <c r="E25" s="5" t="s">
        <v>74</v>
      </c>
      <c r="F25" s="3" t="n">
        <f aca="false">IF(E25="",0,LEN(E25)-LEN(SUBSTITUTE(E25,CHAR(10),""))+1)</f>
        <v>4</v>
      </c>
      <c r="G25" s="3" t="n">
        <f aca="false">MIN(3,MAX(1,ROUNDUP(F25*0.6,0)))</f>
        <v>3</v>
      </c>
      <c r="H25" s="6" t="s">
        <v>13</v>
      </c>
      <c r="I25" s="3"/>
    </row>
    <row r="26" customFormat="false" ht="79.85" hidden="false" customHeight="false" outlineLevel="0" collapsed="false">
      <c r="A26" s="3" t="n">
        <v>25</v>
      </c>
      <c r="B26" s="8" t="s">
        <v>69</v>
      </c>
      <c r="C26" s="8" t="s">
        <v>70</v>
      </c>
      <c r="D26" s="5" t="s">
        <v>75</v>
      </c>
      <c r="E26" s="5" t="s">
        <v>76</v>
      </c>
      <c r="F26" s="3" t="n">
        <f aca="false">IF(E26="",0,LEN(E26)-LEN(SUBSTITUTE(E26,CHAR(10),""))+1)</f>
        <v>5</v>
      </c>
      <c r="G26" s="3" t="n">
        <f aca="false">MIN(3,MAX(1,ROUNDUP(F26*0.6,0)))</f>
        <v>3</v>
      </c>
      <c r="H26" s="6" t="s">
        <v>13</v>
      </c>
      <c r="I26" s="3"/>
    </row>
    <row r="27" customFormat="false" ht="111.15" hidden="false" customHeight="false" outlineLevel="0" collapsed="false">
      <c r="A27" s="3" t="n">
        <v>26</v>
      </c>
      <c r="B27" s="8" t="s">
        <v>69</v>
      </c>
      <c r="C27" s="8" t="s">
        <v>70</v>
      </c>
      <c r="D27" s="5" t="s">
        <v>77</v>
      </c>
      <c r="E27" s="5" t="s">
        <v>78</v>
      </c>
      <c r="F27" s="3" t="n">
        <f aca="false">IF(E27="",0,LEN(E27)-LEN(SUBSTITUTE(E27,CHAR(10),""))+1)</f>
        <v>7</v>
      </c>
      <c r="G27" s="3" t="n">
        <f aca="false">MIN(3,MAX(1,ROUNDUP(F27*0.6,0)))</f>
        <v>3</v>
      </c>
      <c r="H27" s="6" t="s">
        <v>13</v>
      </c>
      <c r="I27" s="3"/>
    </row>
    <row r="28" customFormat="false" ht="64.15" hidden="false" customHeight="false" outlineLevel="0" collapsed="false">
      <c r="A28" s="3" t="n">
        <v>27</v>
      </c>
      <c r="B28" s="8" t="s">
        <v>69</v>
      </c>
      <c r="C28" s="8" t="s">
        <v>70</v>
      </c>
      <c r="D28" s="5" t="s">
        <v>79</v>
      </c>
      <c r="E28" s="5" t="s">
        <v>80</v>
      </c>
      <c r="F28" s="3" t="n">
        <f aca="false">IF(E28="",0,LEN(E28)-LEN(SUBSTITUTE(E28,CHAR(10),""))+1)</f>
        <v>4</v>
      </c>
      <c r="G28" s="3" t="n">
        <f aca="false">MIN(3,MAX(1,ROUNDUP(F28*0.6,0)))</f>
        <v>3</v>
      </c>
      <c r="H28" s="6" t="s">
        <v>13</v>
      </c>
      <c r="I28" s="3"/>
    </row>
    <row r="29" customFormat="false" ht="79.85" hidden="false" customHeight="false" outlineLevel="0" collapsed="false">
      <c r="A29" s="3" t="n">
        <v>28</v>
      </c>
      <c r="B29" s="8" t="s">
        <v>69</v>
      </c>
      <c r="C29" s="8" t="s">
        <v>81</v>
      </c>
      <c r="D29" s="5" t="s">
        <v>82</v>
      </c>
      <c r="E29" s="5" t="s">
        <v>83</v>
      </c>
      <c r="F29" s="3" t="n">
        <f aca="false">IF(E29="",0,LEN(E29)-LEN(SUBSTITUTE(E29,CHAR(10),""))+1)</f>
        <v>5</v>
      </c>
      <c r="G29" s="3" t="n">
        <f aca="false">MIN(3,MAX(1,ROUNDUP(F29*0.6,0)))</f>
        <v>3</v>
      </c>
      <c r="H29" s="6" t="s">
        <v>13</v>
      </c>
      <c r="I29" s="3"/>
    </row>
    <row r="30" customFormat="false" ht="64.15" hidden="false" customHeight="false" outlineLevel="0" collapsed="false">
      <c r="A30" s="3" t="n">
        <v>29</v>
      </c>
      <c r="B30" s="8" t="s">
        <v>69</v>
      </c>
      <c r="C30" s="8" t="s">
        <v>84</v>
      </c>
      <c r="D30" s="5" t="s">
        <v>85</v>
      </c>
      <c r="E30" s="5" t="s">
        <v>86</v>
      </c>
      <c r="F30" s="3" t="n">
        <f aca="false">IF(E30="",0,LEN(E30)-LEN(SUBSTITUTE(E30,CHAR(10),""))+1)</f>
        <v>4</v>
      </c>
      <c r="G30" s="3" t="n">
        <f aca="false">MIN(3,MAX(1,ROUNDUP(F30*0.6,0)))</f>
        <v>3</v>
      </c>
      <c r="H30" s="6" t="s">
        <v>13</v>
      </c>
      <c r="I30" s="3"/>
    </row>
    <row r="31" customFormat="false" ht="48.5" hidden="false" customHeight="false" outlineLevel="0" collapsed="false">
      <c r="A31" s="3" t="n">
        <v>30</v>
      </c>
      <c r="B31" s="8" t="s">
        <v>69</v>
      </c>
      <c r="C31" s="8" t="s">
        <v>84</v>
      </c>
      <c r="D31" s="5" t="s">
        <v>87</v>
      </c>
      <c r="E31" s="5" t="s">
        <v>88</v>
      </c>
      <c r="F31" s="3" t="n">
        <f aca="false">IF(E31="",0,LEN(E31)-LEN(SUBSTITUTE(E31,CHAR(10),""))+1)</f>
        <v>3</v>
      </c>
      <c r="G31" s="3" t="n">
        <f aca="false">MIN(3,MAX(1,ROUNDUP(F31*0.6,0)))</f>
        <v>2</v>
      </c>
      <c r="H31" s="6" t="s">
        <v>13</v>
      </c>
      <c r="I31" s="3"/>
    </row>
    <row r="32" customFormat="false" ht="64.15" hidden="false" customHeight="false" outlineLevel="0" collapsed="false">
      <c r="A32" s="3" t="n">
        <v>31</v>
      </c>
      <c r="B32" s="8" t="s">
        <v>69</v>
      </c>
      <c r="C32" s="8" t="s">
        <v>84</v>
      </c>
      <c r="D32" s="5" t="s">
        <v>89</v>
      </c>
      <c r="E32" s="5" t="s">
        <v>90</v>
      </c>
      <c r="F32" s="3" t="n">
        <f aca="false">IF(E32="",0,LEN(E32)-LEN(SUBSTITUTE(E32,CHAR(10),""))+1)</f>
        <v>4</v>
      </c>
      <c r="G32" s="3" t="n">
        <f aca="false">MIN(3,MAX(1,ROUNDUP(F32*0.6,0)))</f>
        <v>3</v>
      </c>
      <c r="H32" s="6" t="s">
        <v>13</v>
      </c>
      <c r="I32" s="3"/>
    </row>
    <row r="33" customFormat="false" ht="64.15" hidden="false" customHeight="false" outlineLevel="0" collapsed="false">
      <c r="A33" s="3" t="n">
        <v>32</v>
      </c>
      <c r="B33" s="8" t="s">
        <v>69</v>
      </c>
      <c r="C33" s="8" t="s">
        <v>84</v>
      </c>
      <c r="D33" s="5" t="s">
        <v>91</v>
      </c>
      <c r="E33" s="5" t="s">
        <v>92</v>
      </c>
      <c r="F33" s="3" t="n">
        <f aca="false">IF(E33="",0,LEN(E33)-LEN(SUBSTITUTE(E33,CHAR(10),""))+1)</f>
        <v>3</v>
      </c>
      <c r="G33" s="3" t="n">
        <f aca="false">MIN(3,MAX(1,ROUNDUP(F33*0.6,0)))</f>
        <v>2</v>
      </c>
      <c r="H33" s="6" t="s">
        <v>13</v>
      </c>
      <c r="I33" s="3"/>
    </row>
    <row r="34" customFormat="false" ht="79.85" hidden="false" customHeight="false" outlineLevel="0" collapsed="false">
      <c r="A34" s="3" t="n">
        <v>33</v>
      </c>
      <c r="B34" s="8" t="s">
        <v>69</v>
      </c>
      <c r="C34" s="8" t="s">
        <v>84</v>
      </c>
      <c r="D34" s="5" t="s">
        <v>93</v>
      </c>
      <c r="E34" s="5" t="s">
        <v>94</v>
      </c>
      <c r="F34" s="3" t="n">
        <f aca="false">IF(E34="",0,LEN(E34)-LEN(SUBSTITUTE(E34,CHAR(10),""))+1)</f>
        <v>5</v>
      </c>
      <c r="G34" s="3" t="n">
        <f aca="false">MIN(3,MAX(1,ROUNDUP(F34*0.6,0)))</f>
        <v>3</v>
      </c>
      <c r="H34" s="6" t="s">
        <v>13</v>
      </c>
      <c r="I34" s="3"/>
    </row>
    <row r="35" customFormat="false" ht="79.85" hidden="false" customHeight="false" outlineLevel="0" collapsed="false">
      <c r="A35" s="3" t="n">
        <v>34</v>
      </c>
      <c r="B35" s="8" t="s">
        <v>69</v>
      </c>
      <c r="C35" s="8" t="s">
        <v>95</v>
      </c>
      <c r="D35" s="5" t="s">
        <v>96</v>
      </c>
      <c r="E35" s="5" t="s">
        <v>97</v>
      </c>
      <c r="F35" s="3" t="n">
        <f aca="false">IF(E35="",0,LEN(E35)-LEN(SUBSTITUTE(E35,CHAR(10),""))+1)</f>
        <v>5</v>
      </c>
      <c r="G35" s="3" t="n">
        <f aca="false">MIN(3,MAX(1,ROUNDUP(F35*0.6,0)))</f>
        <v>3</v>
      </c>
      <c r="H35" s="6" t="s">
        <v>13</v>
      </c>
      <c r="I35" s="3"/>
    </row>
    <row r="36" customFormat="false" ht="95.5" hidden="false" customHeight="false" outlineLevel="0" collapsed="false">
      <c r="A36" s="3" t="n">
        <v>35</v>
      </c>
      <c r="B36" s="8" t="s">
        <v>69</v>
      </c>
      <c r="C36" s="8" t="s">
        <v>95</v>
      </c>
      <c r="D36" s="5" t="s">
        <v>98</v>
      </c>
      <c r="E36" s="5" t="s">
        <v>99</v>
      </c>
      <c r="F36" s="3" t="n">
        <f aca="false">IF(E36="",0,LEN(E36)-LEN(SUBSTITUTE(E36,CHAR(10),""))+1)</f>
        <v>6</v>
      </c>
      <c r="G36" s="3" t="n">
        <f aca="false">MIN(3,MAX(1,ROUNDUP(F36*0.6,0)))</f>
        <v>3</v>
      </c>
      <c r="H36" s="6" t="s">
        <v>13</v>
      </c>
      <c r="I36" s="3"/>
    </row>
    <row r="37" customFormat="false" ht="64.15" hidden="false" customHeight="false" outlineLevel="0" collapsed="false">
      <c r="A37" s="3" t="n">
        <v>36</v>
      </c>
      <c r="B37" s="8" t="s">
        <v>69</v>
      </c>
      <c r="C37" s="8" t="s">
        <v>95</v>
      </c>
      <c r="D37" s="5" t="s">
        <v>100</v>
      </c>
      <c r="E37" s="5" t="s">
        <v>101</v>
      </c>
      <c r="F37" s="3" t="n">
        <f aca="false">IF(E37="",0,LEN(E37)-LEN(SUBSTITUTE(E37,CHAR(10),""))+1)</f>
        <v>4</v>
      </c>
      <c r="G37" s="3" t="n">
        <f aca="false">MIN(3,MAX(1,ROUNDUP(F37*0.6,0)))</f>
        <v>3</v>
      </c>
      <c r="H37" s="6" t="s">
        <v>13</v>
      </c>
      <c r="I37" s="3"/>
    </row>
    <row r="38" customFormat="false" ht="64.15" hidden="false" customHeight="false" outlineLevel="0" collapsed="false">
      <c r="A38" s="3" t="n">
        <v>37</v>
      </c>
      <c r="B38" s="8" t="s">
        <v>69</v>
      </c>
      <c r="C38" s="8" t="s">
        <v>102</v>
      </c>
      <c r="D38" s="5" t="s">
        <v>103</v>
      </c>
      <c r="E38" s="5" t="s">
        <v>104</v>
      </c>
      <c r="F38" s="3" t="n">
        <f aca="false">IF(E38="",0,LEN(E38)-LEN(SUBSTITUTE(E38,CHAR(10),""))+1)</f>
        <v>4</v>
      </c>
      <c r="G38" s="3" t="n">
        <f aca="false">MIN(3,MAX(1,ROUNDUP(F38*0.6,0)))</f>
        <v>3</v>
      </c>
      <c r="H38" s="6" t="s">
        <v>13</v>
      </c>
      <c r="I38" s="3"/>
    </row>
    <row r="39" customFormat="false" ht="79.85" hidden="false" customHeight="false" outlineLevel="0" collapsed="false">
      <c r="A39" s="3" t="n">
        <v>38</v>
      </c>
      <c r="B39" s="8" t="s">
        <v>69</v>
      </c>
      <c r="C39" s="8" t="s">
        <v>102</v>
      </c>
      <c r="D39" s="5" t="s">
        <v>105</v>
      </c>
      <c r="E39" s="5" t="s">
        <v>106</v>
      </c>
      <c r="F39" s="3" t="n">
        <f aca="false">IF(E39="",0,LEN(E39)-LEN(SUBSTITUTE(E39,CHAR(10),""))+1)</f>
        <v>5</v>
      </c>
      <c r="G39" s="3" t="n">
        <f aca="false">MIN(3,MAX(1,ROUNDUP(F39*0.6,0)))</f>
        <v>3</v>
      </c>
      <c r="H39" s="6" t="s">
        <v>13</v>
      </c>
      <c r="I39" s="3"/>
    </row>
    <row r="40" customFormat="false" ht="64.15" hidden="false" customHeight="false" outlineLevel="0" collapsed="false">
      <c r="A40" s="3" t="n">
        <v>39</v>
      </c>
      <c r="B40" s="8" t="s">
        <v>69</v>
      </c>
      <c r="C40" s="8" t="s">
        <v>102</v>
      </c>
      <c r="D40" s="5" t="s">
        <v>107</v>
      </c>
      <c r="E40" s="5" t="s">
        <v>108</v>
      </c>
      <c r="F40" s="3" t="n">
        <f aca="false">IF(E40="",0,LEN(E40)-LEN(SUBSTITUTE(E40,CHAR(10),""))+1)</f>
        <v>4</v>
      </c>
      <c r="G40" s="3" t="n">
        <f aca="false">MIN(3,MAX(1,ROUNDUP(F40*0.6,0)))</f>
        <v>3</v>
      </c>
      <c r="H40" s="6" t="s">
        <v>13</v>
      </c>
      <c r="I40" s="3"/>
    </row>
    <row r="41" customFormat="false" ht="64.15" hidden="false" customHeight="false" outlineLevel="0" collapsed="false">
      <c r="A41" s="3" t="n">
        <v>40</v>
      </c>
      <c r="B41" s="8" t="s">
        <v>69</v>
      </c>
      <c r="C41" s="8" t="s">
        <v>102</v>
      </c>
      <c r="D41" s="5" t="s">
        <v>109</v>
      </c>
      <c r="E41" s="5" t="s">
        <v>110</v>
      </c>
      <c r="F41" s="3" t="n">
        <f aca="false">IF(E41="",0,LEN(E41)-LEN(SUBSTITUTE(E41,CHAR(10),""))+1)</f>
        <v>4</v>
      </c>
      <c r="G41" s="3" t="n">
        <f aca="false">MIN(3,MAX(1,ROUNDUP(F41*0.6,0)))</f>
        <v>3</v>
      </c>
      <c r="H41" s="6" t="s">
        <v>13</v>
      </c>
      <c r="I41" s="3"/>
    </row>
    <row r="42" customFormat="false" ht="64.15" hidden="false" customHeight="false" outlineLevel="0" collapsed="false">
      <c r="A42" s="3" t="n">
        <v>41</v>
      </c>
      <c r="B42" s="8" t="s">
        <v>69</v>
      </c>
      <c r="C42" s="8" t="s">
        <v>111</v>
      </c>
      <c r="D42" s="5" t="s">
        <v>112</v>
      </c>
      <c r="E42" s="5" t="s">
        <v>113</v>
      </c>
      <c r="F42" s="3" t="n">
        <f aca="false">IF(E42="",0,LEN(E42)-LEN(SUBSTITUTE(E42,CHAR(10),""))+1)</f>
        <v>3</v>
      </c>
      <c r="G42" s="3" t="n">
        <f aca="false">MIN(3,MAX(1,ROUNDUP(F42*0.6,0)))</f>
        <v>2</v>
      </c>
      <c r="H42" s="6" t="s">
        <v>13</v>
      </c>
      <c r="I42" s="3"/>
    </row>
    <row r="43" customFormat="false" ht="64.15" hidden="false" customHeight="false" outlineLevel="0" collapsed="false">
      <c r="A43" s="3" t="n">
        <v>42</v>
      </c>
      <c r="B43" s="8" t="s">
        <v>69</v>
      </c>
      <c r="C43" s="8" t="s">
        <v>114</v>
      </c>
      <c r="D43" s="5" t="s">
        <v>115</v>
      </c>
      <c r="E43" s="5" t="s">
        <v>116</v>
      </c>
      <c r="F43" s="3" t="n">
        <f aca="false">IF(E43="",0,LEN(E43)-LEN(SUBSTITUTE(E43,CHAR(10),""))+1)</f>
        <v>4</v>
      </c>
      <c r="G43" s="3" t="n">
        <f aca="false">MIN(3,MAX(1,ROUNDUP(F43*0.6,0)))</f>
        <v>3</v>
      </c>
      <c r="H43" s="6" t="s">
        <v>13</v>
      </c>
      <c r="I43" s="3"/>
    </row>
    <row r="44" customFormat="false" ht="79.85" hidden="false" customHeight="false" outlineLevel="0" collapsed="false">
      <c r="A44" s="3" t="n">
        <v>43</v>
      </c>
      <c r="B44" s="8" t="s">
        <v>69</v>
      </c>
      <c r="C44" s="8" t="s">
        <v>117</v>
      </c>
      <c r="D44" s="5" t="s">
        <v>118</v>
      </c>
      <c r="E44" s="5" t="s">
        <v>119</v>
      </c>
      <c r="F44" s="3" t="n">
        <f aca="false">IF(E44="",0,LEN(E44)-LEN(SUBSTITUTE(E44,CHAR(10),""))+1)</f>
        <v>5</v>
      </c>
      <c r="G44" s="3" t="n">
        <f aca="false">MIN(3,MAX(1,ROUNDUP(F44*0.6,0)))</f>
        <v>3</v>
      </c>
      <c r="H44" s="6" t="s">
        <v>13</v>
      </c>
      <c r="I44" s="3"/>
    </row>
    <row r="45" customFormat="false" ht="79.85" hidden="false" customHeight="false" outlineLevel="0" collapsed="false">
      <c r="A45" s="3" t="n">
        <v>44</v>
      </c>
      <c r="B45" s="8" t="s">
        <v>69</v>
      </c>
      <c r="C45" s="8" t="s">
        <v>117</v>
      </c>
      <c r="D45" s="5" t="s">
        <v>120</v>
      </c>
      <c r="E45" s="5" t="s">
        <v>121</v>
      </c>
      <c r="F45" s="3" t="n">
        <f aca="false">IF(E45="",0,LEN(E45)-LEN(SUBSTITUTE(E45,CHAR(10),""))+1)</f>
        <v>5</v>
      </c>
      <c r="G45" s="3" t="n">
        <f aca="false">MIN(3,MAX(1,ROUNDUP(F45*0.6,0)))</f>
        <v>3</v>
      </c>
      <c r="H45" s="6" t="s">
        <v>13</v>
      </c>
      <c r="I45" s="3"/>
    </row>
    <row r="46" customFormat="false" ht="79.85" hidden="false" customHeight="false" outlineLevel="0" collapsed="false">
      <c r="A46" s="3" t="n">
        <v>45</v>
      </c>
      <c r="B46" s="8" t="s">
        <v>69</v>
      </c>
      <c r="C46" s="9" t="s">
        <v>122</v>
      </c>
      <c r="D46" s="5" t="s">
        <v>123</v>
      </c>
      <c r="E46" s="5" t="s">
        <v>124</v>
      </c>
      <c r="F46" s="3" t="n">
        <f aca="false">IF(E46="",0,LEN(E46)-LEN(SUBSTITUTE(E46,CHAR(10),""))+1)</f>
        <v>5</v>
      </c>
      <c r="G46" s="3" t="n">
        <f aca="false">MIN(3,MAX(1,ROUNDUP(F46*0.6,0)))</f>
        <v>3</v>
      </c>
      <c r="H46" s="6" t="s">
        <v>13</v>
      </c>
      <c r="I46" s="3"/>
    </row>
    <row r="47" customFormat="false" ht="79.85" hidden="false" customHeight="false" outlineLevel="0" collapsed="false">
      <c r="A47" s="3" t="n">
        <v>46</v>
      </c>
      <c r="B47" s="8" t="s">
        <v>69</v>
      </c>
      <c r="C47" s="8" t="s">
        <v>125</v>
      </c>
      <c r="D47" s="5" t="s">
        <v>126</v>
      </c>
      <c r="E47" s="5" t="s">
        <v>127</v>
      </c>
      <c r="F47" s="3" t="n">
        <f aca="false">IF(E47="",0,LEN(E47)-LEN(SUBSTITUTE(E47,CHAR(10),""))+1)</f>
        <v>5</v>
      </c>
      <c r="G47" s="3" t="n">
        <f aca="false">MIN(3,MAX(1,ROUNDUP(F47*0.6,0)))</f>
        <v>3</v>
      </c>
      <c r="H47" s="6" t="s">
        <v>13</v>
      </c>
      <c r="I47" s="3"/>
    </row>
    <row r="48" customFormat="false" ht="64.15" hidden="false" customHeight="false" outlineLevel="0" collapsed="false">
      <c r="A48" s="3" t="n">
        <v>47</v>
      </c>
      <c r="B48" s="8" t="s">
        <v>69</v>
      </c>
      <c r="C48" s="8" t="s">
        <v>128</v>
      </c>
      <c r="D48" s="5" t="s">
        <v>129</v>
      </c>
      <c r="E48" s="5" t="s">
        <v>130</v>
      </c>
      <c r="F48" s="3" t="n">
        <f aca="false">IF(E48="",0,LEN(E48)-LEN(SUBSTITUTE(E48,CHAR(10),""))+1)</f>
        <v>4</v>
      </c>
      <c r="G48" s="3" t="n">
        <f aca="false">MIN(3,MAX(1,ROUNDUP(F48*0.6,0)))</f>
        <v>3</v>
      </c>
      <c r="H48" s="6" t="s">
        <v>13</v>
      </c>
      <c r="I48" s="3"/>
    </row>
    <row r="49" customFormat="false" ht="48.5" hidden="false" customHeight="false" outlineLevel="0" collapsed="false">
      <c r="A49" s="3" t="n">
        <v>48</v>
      </c>
      <c r="B49" s="8" t="s">
        <v>69</v>
      </c>
      <c r="C49" s="8" t="s">
        <v>128</v>
      </c>
      <c r="D49" s="7" t="s">
        <v>131</v>
      </c>
      <c r="E49" s="5" t="s">
        <v>132</v>
      </c>
      <c r="F49" s="3" t="n">
        <f aca="false">IF(E49="",0,LEN(E49)-LEN(SUBSTITUTE(E49,CHAR(10),""))+1)</f>
        <v>2</v>
      </c>
      <c r="G49" s="3" t="n">
        <f aca="false">MIN(3,MAX(1,ROUNDUP(F49*0.6,0)))</f>
        <v>2</v>
      </c>
      <c r="H49" s="6" t="s">
        <v>13</v>
      </c>
      <c r="I49" s="3"/>
    </row>
    <row r="50" customFormat="false" ht="79.85" hidden="false" customHeight="false" outlineLevel="0" collapsed="false">
      <c r="A50" s="3" t="n">
        <v>49</v>
      </c>
      <c r="B50" s="8" t="s">
        <v>69</v>
      </c>
      <c r="C50" s="8" t="s">
        <v>133</v>
      </c>
      <c r="D50" s="7" t="s">
        <v>134</v>
      </c>
      <c r="E50" s="5" t="s">
        <v>135</v>
      </c>
      <c r="F50" s="3" t="n">
        <f aca="false">IF(E50="",0,LEN(E50)-LEN(SUBSTITUTE(E50,CHAR(10),""))+1)</f>
        <v>5</v>
      </c>
      <c r="G50" s="3" t="n">
        <f aca="false">MIN(3,MAX(1,ROUNDUP(F50*0.6,0)))</f>
        <v>3</v>
      </c>
      <c r="H50" s="6" t="s">
        <v>13</v>
      </c>
      <c r="I50" s="3"/>
    </row>
    <row r="51" customFormat="false" ht="111.15" hidden="false" customHeight="false" outlineLevel="0" collapsed="false">
      <c r="A51" s="3" t="n">
        <v>50</v>
      </c>
      <c r="B51" s="8" t="s">
        <v>69</v>
      </c>
      <c r="C51" s="8" t="s">
        <v>133</v>
      </c>
      <c r="D51" s="7" t="s">
        <v>136</v>
      </c>
      <c r="E51" s="5" t="s">
        <v>137</v>
      </c>
      <c r="F51" s="3" t="n">
        <f aca="false">IF(E51="",0,LEN(E51)-LEN(SUBSTITUTE(E51,CHAR(10),""))+1)</f>
        <v>7</v>
      </c>
      <c r="G51" s="3" t="n">
        <f aca="false">MIN(3,MAX(1,ROUNDUP(F51*0.6,0)))</f>
        <v>3</v>
      </c>
      <c r="H51" s="6" t="s">
        <v>13</v>
      </c>
      <c r="I51" s="3"/>
    </row>
    <row r="52" customFormat="false" ht="32.8" hidden="false" customHeight="false" outlineLevel="0" collapsed="false">
      <c r="A52" s="3" t="n">
        <v>51</v>
      </c>
      <c r="B52" s="8" t="s">
        <v>69</v>
      </c>
      <c r="C52" s="8" t="s">
        <v>138</v>
      </c>
      <c r="D52" s="5" t="s">
        <v>139</v>
      </c>
      <c r="E52" s="5" t="s">
        <v>140</v>
      </c>
      <c r="F52" s="3" t="n">
        <f aca="false">IF(E52="",0,LEN(E52)-LEN(SUBSTITUTE(E52,CHAR(10),""))+1)</f>
        <v>2</v>
      </c>
      <c r="G52" s="3" t="n">
        <f aca="false">MIN(3,MAX(1,ROUNDUP(F52*0.6,0)))</f>
        <v>2</v>
      </c>
      <c r="H52" s="6" t="s">
        <v>13</v>
      </c>
      <c r="I52" s="3"/>
    </row>
    <row r="53" customFormat="false" ht="64.15" hidden="false" customHeight="false" outlineLevel="0" collapsed="false">
      <c r="A53" s="3" t="n">
        <v>52</v>
      </c>
      <c r="B53" s="8" t="s">
        <v>69</v>
      </c>
      <c r="C53" s="8" t="s">
        <v>138</v>
      </c>
      <c r="D53" s="5" t="s">
        <v>141</v>
      </c>
      <c r="E53" s="5" t="s">
        <v>142</v>
      </c>
      <c r="F53" s="3" t="n">
        <f aca="false">IF(E53="",0,LEN(E53)-LEN(SUBSTITUTE(E53,CHAR(10),""))+1)</f>
        <v>4</v>
      </c>
      <c r="G53" s="3" t="n">
        <f aca="false">MIN(3,MAX(1,ROUNDUP(F53*0.6,0)))</f>
        <v>3</v>
      </c>
      <c r="H53" s="6" t="s">
        <v>13</v>
      </c>
      <c r="I53" s="3"/>
    </row>
    <row r="54" customFormat="false" ht="111.15" hidden="false" customHeight="false" outlineLevel="0" collapsed="false">
      <c r="A54" s="3" t="n">
        <v>53</v>
      </c>
      <c r="B54" s="8" t="s">
        <v>69</v>
      </c>
      <c r="C54" s="8" t="s">
        <v>138</v>
      </c>
      <c r="D54" s="5" t="s">
        <v>143</v>
      </c>
      <c r="E54" s="5" t="s">
        <v>144</v>
      </c>
      <c r="F54" s="3" t="n">
        <f aca="false">IF(E54="",0,LEN(E54)-LEN(SUBSTITUTE(E54,CHAR(10),""))+1)</f>
        <v>5</v>
      </c>
      <c r="G54" s="3" t="n">
        <f aca="false">MIN(3,MAX(1,ROUNDUP(F54*0.6,0)))</f>
        <v>3</v>
      </c>
      <c r="H54" s="6" t="s">
        <v>13</v>
      </c>
      <c r="I54" s="3"/>
    </row>
    <row r="55" customFormat="false" ht="48.5" hidden="false" customHeight="false" outlineLevel="0" collapsed="false">
      <c r="A55" s="3" t="n">
        <v>54</v>
      </c>
      <c r="B55" s="8" t="s">
        <v>69</v>
      </c>
      <c r="C55" s="8" t="s">
        <v>145</v>
      </c>
      <c r="D55" s="5" t="s">
        <v>146</v>
      </c>
      <c r="E55" s="5" t="s">
        <v>147</v>
      </c>
      <c r="F55" s="3" t="n">
        <f aca="false">IF(E55="",0,LEN(E55)-LEN(SUBSTITUTE(E55,CHAR(10),""))+1)</f>
        <v>3</v>
      </c>
      <c r="G55" s="3" t="n">
        <f aca="false">MIN(3,MAX(1,ROUNDUP(F55*0.6,0)))</f>
        <v>2</v>
      </c>
      <c r="H55" s="6" t="s">
        <v>13</v>
      </c>
      <c r="I55" s="3"/>
    </row>
    <row r="56" customFormat="false" ht="64.15" hidden="false" customHeight="false" outlineLevel="0" collapsed="false">
      <c r="A56" s="3" t="n">
        <v>55</v>
      </c>
      <c r="B56" s="8" t="s">
        <v>69</v>
      </c>
      <c r="C56" s="8" t="s">
        <v>145</v>
      </c>
      <c r="D56" s="5" t="s">
        <v>148</v>
      </c>
      <c r="E56" s="5" t="s">
        <v>149</v>
      </c>
      <c r="F56" s="3" t="n">
        <f aca="false">IF(E56="",0,LEN(E56)-LEN(SUBSTITUTE(E56,CHAR(10),""))+1)</f>
        <v>4</v>
      </c>
      <c r="G56" s="3" t="n">
        <f aca="false">MIN(3,MAX(1,ROUNDUP(F56*0.6,0)))</f>
        <v>3</v>
      </c>
      <c r="H56" s="6" t="s">
        <v>13</v>
      </c>
      <c r="I56" s="3"/>
    </row>
    <row r="57" customFormat="false" ht="95.5" hidden="false" customHeight="false" outlineLevel="0" collapsed="false">
      <c r="A57" s="3" t="n">
        <v>56</v>
      </c>
      <c r="B57" s="8" t="s">
        <v>69</v>
      </c>
      <c r="C57" s="8" t="s">
        <v>145</v>
      </c>
      <c r="D57" s="5" t="s">
        <v>150</v>
      </c>
      <c r="E57" s="5" t="s">
        <v>151</v>
      </c>
      <c r="F57" s="3" t="n">
        <f aca="false">IF(E57="",0,LEN(E57)-LEN(SUBSTITUTE(E57,CHAR(10),""))+1)</f>
        <v>6</v>
      </c>
      <c r="G57" s="3" t="n">
        <f aca="false">MIN(3,MAX(1,ROUNDUP(F57*0.6,0)))</f>
        <v>3</v>
      </c>
      <c r="H57" s="6" t="s">
        <v>13</v>
      </c>
      <c r="I57" s="3"/>
    </row>
    <row r="58" customFormat="false" ht="79.85" hidden="false" customHeight="false" outlineLevel="0" collapsed="false">
      <c r="A58" s="3" t="n">
        <v>57</v>
      </c>
      <c r="B58" s="8" t="s">
        <v>69</v>
      </c>
      <c r="C58" s="8" t="s">
        <v>145</v>
      </c>
      <c r="D58" s="5" t="s">
        <v>152</v>
      </c>
      <c r="E58" s="5" t="s">
        <v>153</v>
      </c>
      <c r="F58" s="3" t="n">
        <f aca="false">IF(E58="",0,LEN(E58)-LEN(SUBSTITUTE(E58,CHAR(10),""))+1)</f>
        <v>5</v>
      </c>
      <c r="G58" s="3" t="n">
        <f aca="false">MIN(3,MAX(1,ROUNDUP(F58*0.6,0)))</f>
        <v>3</v>
      </c>
      <c r="H58" s="6" t="s">
        <v>13</v>
      </c>
      <c r="I58" s="3"/>
    </row>
    <row r="59" customFormat="false" ht="111.15" hidden="false" customHeight="false" outlineLevel="0" collapsed="false">
      <c r="A59" s="3" t="n">
        <v>58</v>
      </c>
      <c r="B59" s="8" t="s">
        <v>69</v>
      </c>
      <c r="C59" s="8" t="s">
        <v>145</v>
      </c>
      <c r="D59" s="5" t="s">
        <v>154</v>
      </c>
      <c r="E59" s="5" t="s">
        <v>155</v>
      </c>
      <c r="F59" s="3" t="n">
        <f aca="false">IF(E59="",0,LEN(E59)-LEN(SUBSTITUTE(E59,CHAR(10),""))+1)</f>
        <v>6</v>
      </c>
      <c r="G59" s="3" t="n">
        <f aca="false">MIN(3,MAX(1,ROUNDUP(F59*0.6,0)))</f>
        <v>3</v>
      </c>
      <c r="H59" s="6" t="s">
        <v>13</v>
      </c>
      <c r="I59" s="3"/>
    </row>
    <row r="60" customFormat="false" ht="126.85" hidden="false" customHeight="false" outlineLevel="0" collapsed="false">
      <c r="A60" s="3" t="n">
        <v>59</v>
      </c>
      <c r="B60" s="8" t="s">
        <v>69</v>
      </c>
      <c r="C60" s="8" t="s">
        <v>145</v>
      </c>
      <c r="D60" s="5" t="s">
        <v>156</v>
      </c>
      <c r="E60" s="5" t="s">
        <v>157</v>
      </c>
      <c r="F60" s="3" t="n">
        <f aca="false">IF(E60="",0,LEN(E60)-LEN(SUBSTITUTE(E60,CHAR(10),""))+1)</f>
        <v>8</v>
      </c>
      <c r="G60" s="3" t="n">
        <f aca="false">MIN(3,MAX(1,ROUNDUP(F60*0.6,0)))</f>
        <v>3</v>
      </c>
      <c r="H60" s="6" t="s">
        <v>13</v>
      </c>
      <c r="I60" s="3"/>
    </row>
    <row r="61" customFormat="false" ht="79.85" hidden="false" customHeight="false" outlineLevel="0" collapsed="false">
      <c r="A61" s="3" t="n">
        <v>60</v>
      </c>
      <c r="B61" s="8" t="s">
        <v>69</v>
      </c>
      <c r="C61" s="8" t="s">
        <v>145</v>
      </c>
      <c r="D61" s="5" t="s">
        <v>158</v>
      </c>
      <c r="E61" s="5" t="s">
        <v>159</v>
      </c>
      <c r="F61" s="3" t="n">
        <f aca="false">IF(E61="",0,LEN(E61)-LEN(SUBSTITUTE(E61,CHAR(10),""))+1)</f>
        <v>5</v>
      </c>
      <c r="G61" s="3" t="n">
        <f aca="false">MIN(3,MAX(1,ROUNDUP(F61*0.6,0)))</f>
        <v>3</v>
      </c>
      <c r="H61" s="6" t="s">
        <v>13</v>
      </c>
      <c r="I61" s="3"/>
    </row>
    <row r="62" customFormat="false" ht="111.15" hidden="false" customHeight="false" outlineLevel="0" collapsed="false">
      <c r="A62" s="3" t="n">
        <v>61</v>
      </c>
      <c r="B62" s="10" t="s">
        <v>160</v>
      </c>
      <c r="C62" s="10" t="s">
        <v>161</v>
      </c>
      <c r="D62" s="5" t="s">
        <v>162</v>
      </c>
      <c r="E62" s="5" t="s">
        <v>163</v>
      </c>
      <c r="F62" s="3" t="n">
        <f aca="false">IF(E62="",0,LEN(E62)-LEN(SUBSTITUTE(E62,CHAR(10),""))+1)</f>
        <v>7</v>
      </c>
      <c r="G62" s="3" t="n">
        <f aca="false">MIN(3,MAX(1,ROUNDUP(F62*0.6,0)))</f>
        <v>3</v>
      </c>
      <c r="H62" s="6" t="s">
        <v>13</v>
      </c>
      <c r="I62" s="3"/>
    </row>
    <row r="63" customFormat="false" ht="111.15" hidden="false" customHeight="false" outlineLevel="0" collapsed="false">
      <c r="A63" s="3" t="n">
        <v>62</v>
      </c>
      <c r="B63" s="10" t="s">
        <v>160</v>
      </c>
      <c r="C63" s="10" t="s">
        <v>161</v>
      </c>
      <c r="D63" s="5" t="s">
        <v>164</v>
      </c>
      <c r="E63" s="5" t="s">
        <v>165</v>
      </c>
      <c r="F63" s="3" t="n">
        <f aca="false">IF(E63="",0,LEN(E63)-LEN(SUBSTITUTE(E63,CHAR(10),""))+1)</f>
        <v>7</v>
      </c>
      <c r="G63" s="3" t="n">
        <f aca="false">MIN(3,MAX(1,ROUNDUP(F63*0.6,0)))</f>
        <v>3</v>
      </c>
      <c r="H63" s="6" t="s">
        <v>13</v>
      </c>
      <c r="I63" s="3"/>
    </row>
    <row r="64" customFormat="false" ht="64.15" hidden="false" customHeight="false" outlineLevel="0" collapsed="false">
      <c r="A64" s="3" t="n">
        <v>63</v>
      </c>
      <c r="B64" s="10" t="s">
        <v>160</v>
      </c>
      <c r="C64" s="10" t="s">
        <v>166</v>
      </c>
      <c r="D64" s="5" t="s">
        <v>167</v>
      </c>
      <c r="E64" s="5" t="s">
        <v>168</v>
      </c>
      <c r="F64" s="3" t="n">
        <f aca="false">IF(E64="",0,LEN(E64)-LEN(SUBSTITUTE(E64,CHAR(10),""))+1)</f>
        <v>4</v>
      </c>
      <c r="G64" s="3" t="n">
        <f aca="false">MIN(3,MAX(1,ROUNDUP(F64*0.6,0)))</f>
        <v>3</v>
      </c>
      <c r="H64" s="6" t="s">
        <v>13</v>
      </c>
      <c r="I64" s="3"/>
    </row>
    <row r="65" customFormat="false" ht="126.85" hidden="false" customHeight="false" outlineLevel="0" collapsed="false">
      <c r="A65" s="3" t="n">
        <v>64</v>
      </c>
      <c r="B65" s="10" t="s">
        <v>160</v>
      </c>
      <c r="C65" s="10" t="s">
        <v>166</v>
      </c>
      <c r="D65" s="5" t="s">
        <v>169</v>
      </c>
      <c r="E65" s="5" t="s">
        <v>170</v>
      </c>
      <c r="F65" s="3" t="n">
        <f aca="false">IF(E65="",0,LEN(E65)-LEN(SUBSTITUTE(E65,CHAR(10),""))+1)</f>
        <v>7</v>
      </c>
      <c r="G65" s="3" t="n">
        <f aca="false">MIN(3,MAX(1,ROUNDUP(F65*0.6,0)))</f>
        <v>3</v>
      </c>
      <c r="H65" s="6" t="s">
        <v>13</v>
      </c>
      <c r="I65" s="3"/>
    </row>
    <row r="66" customFormat="false" ht="95.5" hidden="false" customHeight="false" outlineLevel="0" collapsed="false">
      <c r="A66" s="3" t="n">
        <v>65</v>
      </c>
      <c r="B66" s="10" t="s">
        <v>160</v>
      </c>
      <c r="C66" s="10" t="s">
        <v>166</v>
      </c>
      <c r="D66" s="5" t="s">
        <v>171</v>
      </c>
      <c r="E66" s="5" t="s">
        <v>172</v>
      </c>
      <c r="F66" s="3" t="n">
        <f aca="false">IF(E66="",0,LEN(E66)-LEN(SUBSTITUTE(E66,CHAR(10),""))+1)</f>
        <v>6</v>
      </c>
      <c r="G66" s="3" t="n">
        <f aca="false">MIN(3,MAX(1,ROUNDUP(F66*0.6,0)))</f>
        <v>3</v>
      </c>
      <c r="H66" s="6" t="s">
        <v>13</v>
      </c>
      <c r="I66" s="3"/>
    </row>
    <row r="67" customFormat="false" ht="126.85" hidden="false" customHeight="false" outlineLevel="0" collapsed="false">
      <c r="A67" s="3" t="n">
        <v>66</v>
      </c>
      <c r="B67" s="10" t="s">
        <v>160</v>
      </c>
      <c r="C67" s="10" t="s">
        <v>173</v>
      </c>
      <c r="D67" s="5" t="s">
        <v>174</v>
      </c>
      <c r="E67" s="5" t="s">
        <v>175</v>
      </c>
      <c r="F67" s="3" t="n">
        <f aca="false">IF(E67="",0,LEN(E67)-LEN(SUBSTITUTE(E67,CHAR(10),""))+1)</f>
        <v>8</v>
      </c>
      <c r="G67" s="3" t="n">
        <f aca="false">MIN(3,MAX(1,ROUNDUP(F67*0.6,0)))</f>
        <v>3</v>
      </c>
      <c r="H67" s="6" t="s">
        <v>13</v>
      </c>
      <c r="I67" s="3"/>
    </row>
    <row r="68" customFormat="false" ht="95.5" hidden="false" customHeight="false" outlineLevel="0" collapsed="false">
      <c r="A68" s="3" t="n">
        <v>67</v>
      </c>
      <c r="B68" s="10" t="s">
        <v>160</v>
      </c>
      <c r="C68" s="10" t="s">
        <v>173</v>
      </c>
      <c r="D68" s="5" t="s">
        <v>176</v>
      </c>
      <c r="E68" s="5" t="s">
        <v>177</v>
      </c>
      <c r="F68" s="3" t="n">
        <f aca="false">IF(E68="",0,LEN(E68)-LEN(SUBSTITUTE(E68,CHAR(10),""))+1)</f>
        <v>6</v>
      </c>
      <c r="G68" s="3" t="n">
        <f aca="false">MIN(3,MAX(1,ROUNDUP(F68*0.6,0)))</f>
        <v>3</v>
      </c>
      <c r="H68" s="6" t="s">
        <v>13</v>
      </c>
      <c r="I68" s="3"/>
    </row>
    <row r="69" customFormat="false" ht="158.2" hidden="false" customHeight="false" outlineLevel="0" collapsed="false">
      <c r="A69" s="3" t="n">
        <v>68</v>
      </c>
      <c r="B69" s="10" t="s">
        <v>160</v>
      </c>
      <c r="C69" s="10" t="s">
        <v>173</v>
      </c>
      <c r="D69" s="5" t="s">
        <v>178</v>
      </c>
      <c r="E69" s="5" t="s">
        <v>179</v>
      </c>
      <c r="F69" s="3" t="n">
        <f aca="false">IF(E69="",0,LEN(E69)-LEN(SUBSTITUTE(E69,CHAR(10),""))+1)</f>
        <v>10</v>
      </c>
      <c r="G69" s="3" t="n">
        <f aca="false">MIN(3,MAX(1,ROUNDUP(F69*0.6,0)))</f>
        <v>3</v>
      </c>
      <c r="H69" s="6" t="s">
        <v>13</v>
      </c>
      <c r="I69" s="3"/>
    </row>
    <row r="70" customFormat="false" ht="111.15" hidden="false" customHeight="false" outlineLevel="0" collapsed="false">
      <c r="A70" s="3" t="n">
        <v>69</v>
      </c>
      <c r="B70" s="10" t="s">
        <v>160</v>
      </c>
      <c r="C70" s="10" t="s">
        <v>173</v>
      </c>
      <c r="D70" s="5" t="s">
        <v>180</v>
      </c>
      <c r="E70" s="5" t="s">
        <v>181</v>
      </c>
      <c r="F70" s="3" t="n">
        <f aca="false">IF(E70="",0,LEN(E70)-LEN(SUBSTITUTE(E70,CHAR(10),""))+1)</f>
        <v>7</v>
      </c>
      <c r="G70" s="3" t="n">
        <f aca="false">MIN(3,MAX(1,ROUNDUP(F70*0.6,0)))</f>
        <v>3</v>
      </c>
      <c r="H70" s="6" t="s">
        <v>13</v>
      </c>
      <c r="I70" s="3"/>
    </row>
    <row r="71" customFormat="false" ht="95.5" hidden="false" customHeight="false" outlineLevel="0" collapsed="false">
      <c r="A71" s="3" t="n">
        <v>70</v>
      </c>
      <c r="B71" s="10" t="s">
        <v>160</v>
      </c>
      <c r="C71" s="10" t="s">
        <v>182</v>
      </c>
      <c r="D71" s="5" t="s">
        <v>183</v>
      </c>
      <c r="E71" s="5" t="s">
        <v>184</v>
      </c>
      <c r="F71" s="3" t="n">
        <f aca="false">IF(E71="",0,LEN(E71)-LEN(SUBSTITUTE(E71,CHAR(10),""))+1)</f>
        <v>6</v>
      </c>
      <c r="G71" s="3" t="n">
        <f aca="false">MIN(3,MAX(1,ROUNDUP(F71*0.6,0)))</f>
        <v>3</v>
      </c>
      <c r="H71" s="6" t="s">
        <v>13</v>
      </c>
      <c r="I71" s="3"/>
    </row>
    <row r="72" customFormat="false" ht="32.8" hidden="false" customHeight="false" outlineLevel="0" collapsed="false">
      <c r="A72" s="3" t="n">
        <v>71</v>
      </c>
      <c r="B72" s="10" t="s">
        <v>160</v>
      </c>
      <c r="C72" s="10" t="s">
        <v>182</v>
      </c>
      <c r="D72" s="7" t="s">
        <v>185</v>
      </c>
      <c r="E72" s="5" t="s">
        <v>186</v>
      </c>
      <c r="F72" s="3" t="n">
        <f aca="false">IF(E72="",0,LEN(E72)-LEN(SUBSTITUTE(E72,CHAR(10),""))+1)</f>
        <v>2</v>
      </c>
      <c r="G72" s="3" t="n">
        <f aca="false">MIN(3,MAX(1,ROUNDUP(F72*0.6,0)))</f>
        <v>2</v>
      </c>
      <c r="H72" s="6" t="s">
        <v>13</v>
      </c>
      <c r="I72" s="3"/>
    </row>
    <row r="73" customFormat="false" ht="79.85" hidden="false" customHeight="false" outlineLevel="0" collapsed="false">
      <c r="A73" s="3" t="n">
        <v>72</v>
      </c>
      <c r="B73" s="10" t="s">
        <v>160</v>
      </c>
      <c r="C73" s="10" t="s">
        <v>182</v>
      </c>
      <c r="D73" s="5" t="s">
        <v>187</v>
      </c>
      <c r="E73" s="5" t="s">
        <v>188</v>
      </c>
      <c r="F73" s="3" t="n">
        <f aca="false">IF(E73="",0,LEN(E73)-LEN(SUBSTITUTE(E73,CHAR(10),""))+1)</f>
        <v>5</v>
      </c>
      <c r="G73" s="3" t="n">
        <f aca="false">MIN(3,MAX(1,ROUNDUP(F73*0.6,0)))</f>
        <v>3</v>
      </c>
      <c r="H73" s="6" t="s">
        <v>13</v>
      </c>
      <c r="I73" s="3"/>
    </row>
    <row r="74" customFormat="false" ht="79.85" hidden="false" customHeight="false" outlineLevel="0" collapsed="false">
      <c r="A74" s="3" t="n">
        <v>73</v>
      </c>
      <c r="B74" s="10" t="s">
        <v>160</v>
      </c>
      <c r="C74" s="10" t="s">
        <v>182</v>
      </c>
      <c r="D74" s="7" t="s">
        <v>189</v>
      </c>
      <c r="E74" s="5" t="s">
        <v>190</v>
      </c>
      <c r="F74" s="3" t="n">
        <f aca="false">IF(E74="",0,LEN(E74)-LEN(SUBSTITUTE(E74,CHAR(10),""))+1)</f>
        <v>3</v>
      </c>
      <c r="G74" s="3" t="n">
        <f aca="false">MIN(3,MAX(1,ROUNDUP(F74*0.6,0)))</f>
        <v>2</v>
      </c>
      <c r="H74" s="6" t="s">
        <v>13</v>
      </c>
      <c r="I74" s="3"/>
    </row>
    <row r="75" customFormat="false" ht="79.85" hidden="false" customHeight="false" outlineLevel="0" collapsed="false">
      <c r="A75" s="3" t="n">
        <v>74</v>
      </c>
      <c r="B75" s="10" t="s">
        <v>160</v>
      </c>
      <c r="C75" s="10" t="s">
        <v>182</v>
      </c>
      <c r="D75" s="7" t="s">
        <v>191</v>
      </c>
      <c r="E75" s="5" t="s">
        <v>192</v>
      </c>
      <c r="F75" s="3" t="n">
        <f aca="false">IF(E75="",0,LEN(E75)-LEN(SUBSTITUTE(E75,CHAR(10),""))+1)</f>
        <v>5</v>
      </c>
      <c r="G75" s="3" t="n">
        <f aca="false">MIN(3,MAX(1,ROUNDUP(F75*0.6,0)))</f>
        <v>3</v>
      </c>
      <c r="H75" s="6" t="s">
        <v>13</v>
      </c>
      <c r="I75" s="3"/>
    </row>
    <row r="76" customFormat="false" ht="95.5" hidden="false" customHeight="false" outlineLevel="0" collapsed="false">
      <c r="A76" s="3" t="n">
        <v>75</v>
      </c>
      <c r="B76" s="10" t="s">
        <v>160</v>
      </c>
      <c r="C76" s="10" t="s">
        <v>193</v>
      </c>
      <c r="D76" s="5" t="s">
        <v>194</v>
      </c>
      <c r="E76" s="5" t="s">
        <v>195</v>
      </c>
      <c r="F76" s="3" t="n">
        <f aca="false">IF(E76="",0,LEN(E76)-LEN(SUBSTITUTE(E76,CHAR(10),""))+1)</f>
        <v>6</v>
      </c>
      <c r="G76" s="3" t="n">
        <f aca="false">MIN(3,MAX(1,ROUNDUP(F76*0.6,0)))</f>
        <v>3</v>
      </c>
      <c r="H76" s="6" t="s">
        <v>13</v>
      </c>
      <c r="I76" s="3"/>
    </row>
    <row r="77" customFormat="false" ht="79.85" hidden="false" customHeight="false" outlineLevel="0" collapsed="false">
      <c r="A77" s="3" t="n">
        <v>76</v>
      </c>
      <c r="B77" s="10" t="s">
        <v>160</v>
      </c>
      <c r="C77" s="10" t="s">
        <v>193</v>
      </c>
      <c r="D77" s="5" t="s">
        <v>196</v>
      </c>
      <c r="E77" s="5" t="s">
        <v>197</v>
      </c>
      <c r="F77" s="3" t="n">
        <f aca="false">IF(E77="",0,LEN(E77)-LEN(SUBSTITUTE(E77,CHAR(10),""))+1)</f>
        <v>5</v>
      </c>
      <c r="G77" s="3" t="n">
        <f aca="false">MIN(3,MAX(1,ROUNDUP(F77*0.6,0)))</f>
        <v>3</v>
      </c>
      <c r="H77" s="6" t="s">
        <v>13</v>
      </c>
      <c r="I77" s="3"/>
    </row>
    <row r="78" customFormat="false" ht="64.15" hidden="false" customHeight="false" outlineLevel="0" collapsed="false">
      <c r="A78" s="3" t="n">
        <v>77</v>
      </c>
      <c r="B78" s="10" t="s">
        <v>160</v>
      </c>
      <c r="C78" s="10" t="s">
        <v>198</v>
      </c>
      <c r="D78" s="5" t="s">
        <v>199</v>
      </c>
      <c r="E78" s="5" t="s">
        <v>200</v>
      </c>
      <c r="F78" s="3" t="n">
        <f aca="false">IF(E78="",0,LEN(E78)-LEN(SUBSTITUTE(E78,CHAR(10),""))+1)</f>
        <v>4</v>
      </c>
      <c r="G78" s="3" t="n">
        <f aca="false">MIN(3,MAX(1,ROUNDUP(F78*0.6,0)))</f>
        <v>3</v>
      </c>
      <c r="H78" s="6" t="s">
        <v>13</v>
      </c>
      <c r="I78" s="3"/>
    </row>
    <row r="79" customFormat="false" ht="64.15" hidden="false" customHeight="false" outlineLevel="0" collapsed="false">
      <c r="A79" s="3" t="n">
        <v>78</v>
      </c>
      <c r="B79" s="10" t="s">
        <v>160</v>
      </c>
      <c r="C79" s="10" t="s">
        <v>198</v>
      </c>
      <c r="D79" s="5" t="s">
        <v>201</v>
      </c>
      <c r="E79" s="5" t="s">
        <v>202</v>
      </c>
      <c r="F79" s="3" t="n">
        <f aca="false">IF(E79="",0,LEN(E79)-LEN(SUBSTITUTE(E79,CHAR(10),""))+1)</f>
        <v>4</v>
      </c>
      <c r="G79" s="3" t="n">
        <f aca="false">MIN(3,MAX(1,ROUNDUP(F79*0.6,0)))</f>
        <v>3</v>
      </c>
      <c r="H79" s="6" t="s">
        <v>13</v>
      </c>
      <c r="I79" s="3"/>
    </row>
    <row r="80" customFormat="false" ht="95.5" hidden="false" customHeight="false" outlineLevel="0" collapsed="false">
      <c r="A80" s="3" t="n">
        <v>79</v>
      </c>
      <c r="B80" s="10" t="s">
        <v>160</v>
      </c>
      <c r="C80" s="10" t="s">
        <v>173</v>
      </c>
      <c r="D80" s="5" t="s">
        <v>203</v>
      </c>
      <c r="E80" s="5" t="s">
        <v>204</v>
      </c>
      <c r="F80" s="3" t="n">
        <f aca="false">IF(E80="",0,LEN(E80)-LEN(SUBSTITUTE(E80,CHAR(10),""))+1)</f>
        <v>6</v>
      </c>
      <c r="G80" s="3" t="n">
        <f aca="false">MIN(3,MAX(1,ROUNDUP(F80*0.6,0)))</f>
        <v>3</v>
      </c>
      <c r="H80" s="6" t="s">
        <v>13</v>
      </c>
      <c r="I80" s="3"/>
    </row>
    <row r="81" customFormat="false" ht="126.85" hidden="false" customHeight="false" outlineLevel="0" collapsed="false">
      <c r="A81" s="3" t="n">
        <v>80</v>
      </c>
      <c r="B81" s="10" t="s">
        <v>160</v>
      </c>
      <c r="C81" s="10" t="s">
        <v>205</v>
      </c>
      <c r="D81" s="5" t="s">
        <v>206</v>
      </c>
      <c r="E81" s="5" t="s">
        <v>207</v>
      </c>
      <c r="F81" s="3" t="n">
        <f aca="false">IF(E81="",0,LEN(E81)-LEN(SUBSTITUTE(E81,CHAR(10),""))+1)</f>
        <v>8</v>
      </c>
      <c r="G81" s="3" t="n">
        <f aca="false">MIN(3,MAX(1,ROUNDUP(F81*0.6,0)))</f>
        <v>3</v>
      </c>
      <c r="H81" s="6" t="s">
        <v>13</v>
      </c>
      <c r="I81" s="3"/>
    </row>
    <row r="82" customFormat="false" ht="64.15" hidden="false" customHeight="false" outlineLevel="0" collapsed="false">
      <c r="A82" s="3" t="n">
        <v>81</v>
      </c>
      <c r="B82" s="11" t="s">
        <v>208</v>
      </c>
      <c r="C82" s="11" t="s">
        <v>209</v>
      </c>
      <c r="D82" s="5" t="s">
        <v>210</v>
      </c>
      <c r="E82" s="5" t="s">
        <v>211</v>
      </c>
      <c r="F82" s="3" t="n">
        <f aca="false">IF(E82="",0,LEN(E82)-LEN(SUBSTITUTE(E82,CHAR(10),""))+1)</f>
        <v>4</v>
      </c>
      <c r="G82" s="3" t="n">
        <f aca="false">MIN(3,MAX(1,ROUNDUP(F82*0.6,0)))</f>
        <v>3</v>
      </c>
      <c r="H82" s="6" t="s">
        <v>13</v>
      </c>
      <c r="I82" s="3"/>
    </row>
    <row r="83" customFormat="false" ht="79.85" hidden="false" customHeight="false" outlineLevel="0" collapsed="false">
      <c r="A83" s="3" t="n">
        <v>82</v>
      </c>
      <c r="B83" s="11" t="s">
        <v>208</v>
      </c>
      <c r="C83" s="11" t="s">
        <v>209</v>
      </c>
      <c r="D83" s="5" t="s">
        <v>212</v>
      </c>
      <c r="E83" s="5" t="s">
        <v>213</v>
      </c>
      <c r="F83" s="3" t="n">
        <f aca="false">IF(E83="",0,LEN(E83)-LEN(SUBSTITUTE(E83,CHAR(10),""))+1)</f>
        <v>5</v>
      </c>
      <c r="G83" s="3" t="n">
        <f aca="false">MIN(3,MAX(1,ROUNDUP(F83*0.6,0)))</f>
        <v>3</v>
      </c>
      <c r="H83" s="6" t="s">
        <v>13</v>
      </c>
      <c r="I83" s="3"/>
    </row>
    <row r="84" customFormat="false" ht="111.15" hidden="false" customHeight="false" outlineLevel="0" collapsed="false">
      <c r="A84" s="3" t="n">
        <v>83</v>
      </c>
      <c r="B84" s="11" t="s">
        <v>208</v>
      </c>
      <c r="C84" s="11" t="s">
        <v>214</v>
      </c>
      <c r="D84" s="5" t="s">
        <v>215</v>
      </c>
      <c r="E84" s="5" t="s">
        <v>216</v>
      </c>
      <c r="F84" s="3" t="n">
        <f aca="false">IF(E84="",0,LEN(E84)-LEN(SUBSTITUTE(E84,CHAR(10),""))+1)</f>
        <v>7</v>
      </c>
      <c r="G84" s="3" t="n">
        <f aca="false">MIN(3,MAX(1,ROUNDUP(F84*0.6,0)))</f>
        <v>3</v>
      </c>
      <c r="H84" s="6" t="s">
        <v>13</v>
      </c>
      <c r="I84" s="3"/>
    </row>
    <row r="85" customFormat="false" ht="111.15" hidden="false" customHeight="false" outlineLevel="0" collapsed="false">
      <c r="A85" s="3" t="n">
        <v>84</v>
      </c>
      <c r="B85" s="11" t="s">
        <v>208</v>
      </c>
      <c r="C85" s="11" t="s">
        <v>214</v>
      </c>
      <c r="D85" s="5" t="s">
        <v>217</v>
      </c>
      <c r="E85" s="5" t="s">
        <v>218</v>
      </c>
      <c r="F85" s="3" t="n">
        <f aca="false">IF(E85="",0,LEN(E85)-LEN(SUBSTITUTE(E85,CHAR(10),""))+1)</f>
        <v>7</v>
      </c>
      <c r="G85" s="3" t="n">
        <f aca="false">MIN(3,MAX(1,ROUNDUP(F85*0.6,0)))</f>
        <v>3</v>
      </c>
      <c r="H85" s="6" t="s">
        <v>13</v>
      </c>
      <c r="I85" s="3"/>
    </row>
    <row r="86" customFormat="false" ht="95.5" hidden="false" customHeight="false" outlineLevel="0" collapsed="false">
      <c r="A86" s="3" t="n">
        <v>85</v>
      </c>
      <c r="B86" s="11" t="s">
        <v>208</v>
      </c>
      <c r="C86" s="11" t="s">
        <v>219</v>
      </c>
      <c r="D86" s="5" t="s">
        <v>220</v>
      </c>
      <c r="E86" s="5" t="s">
        <v>221</v>
      </c>
      <c r="F86" s="3" t="n">
        <f aca="false">IF(E86="",0,LEN(E86)-LEN(SUBSTITUTE(E86,CHAR(10),""))+1)</f>
        <v>5</v>
      </c>
      <c r="G86" s="3" t="n">
        <f aca="false">MIN(3,MAX(1,ROUNDUP(F86*0.6,0)))</f>
        <v>3</v>
      </c>
      <c r="H86" s="6" t="s">
        <v>13</v>
      </c>
      <c r="I86" s="3"/>
    </row>
    <row r="87" customFormat="false" ht="111.15" hidden="false" customHeight="false" outlineLevel="0" collapsed="false">
      <c r="A87" s="3" t="n">
        <v>86</v>
      </c>
      <c r="B87" s="11" t="s">
        <v>208</v>
      </c>
      <c r="C87" s="11" t="s">
        <v>222</v>
      </c>
      <c r="D87" s="5" t="s">
        <v>223</v>
      </c>
      <c r="E87" s="5" t="s">
        <v>224</v>
      </c>
      <c r="F87" s="3" t="n">
        <f aca="false">IF(E87="",0,LEN(E87)-LEN(SUBSTITUTE(E87,CHAR(10),""))+1)</f>
        <v>7</v>
      </c>
      <c r="G87" s="3" t="n">
        <f aca="false">MIN(3,MAX(1,ROUNDUP(F87*0.6,0)))</f>
        <v>3</v>
      </c>
      <c r="H87" s="6" t="s">
        <v>13</v>
      </c>
      <c r="I87" s="3"/>
    </row>
    <row r="88" customFormat="false" ht="95.5" hidden="false" customHeight="false" outlineLevel="0" collapsed="false">
      <c r="A88" s="3" t="n">
        <v>87</v>
      </c>
      <c r="B88" s="11" t="s">
        <v>208</v>
      </c>
      <c r="C88" s="11" t="s">
        <v>225</v>
      </c>
      <c r="D88" s="5" t="s">
        <v>226</v>
      </c>
      <c r="E88" s="5" t="s">
        <v>227</v>
      </c>
      <c r="F88" s="3" t="n">
        <f aca="false">IF(E88="",0,LEN(E88)-LEN(SUBSTITUTE(E88,CHAR(10),""))+1)</f>
        <v>6</v>
      </c>
      <c r="G88" s="3" t="n">
        <f aca="false">MIN(3,MAX(1,ROUNDUP(F88*0.6,0)))</f>
        <v>3</v>
      </c>
      <c r="H88" s="6" t="s">
        <v>13</v>
      </c>
      <c r="I88" s="3"/>
    </row>
    <row r="89" customFormat="false" ht="79.85" hidden="false" customHeight="false" outlineLevel="0" collapsed="false">
      <c r="A89" s="3" t="n">
        <v>88</v>
      </c>
      <c r="B89" s="11" t="s">
        <v>208</v>
      </c>
      <c r="C89" s="11" t="s">
        <v>228</v>
      </c>
      <c r="D89" s="5" t="s">
        <v>229</v>
      </c>
      <c r="E89" s="5" t="s">
        <v>230</v>
      </c>
      <c r="F89" s="3" t="n">
        <f aca="false">IF(E89="",0,LEN(E89)-LEN(SUBSTITUTE(E89,CHAR(10),""))+1)</f>
        <v>5</v>
      </c>
      <c r="G89" s="3" t="n">
        <f aca="false">MIN(3,MAX(1,ROUNDUP(F89*0.6,0)))</f>
        <v>3</v>
      </c>
      <c r="H89" s="6" t="s">
        <v>13</v>
      </c>
      <c r="I89" s="3"/>
    </row>
    <row r="90" customFormat="false" ht="79.85" hidden="false" customHeight="false" outlineLevel="0" collapsed="false">
      <c r="A90" s="3" t="n">
        <v>89</v>
      </c>
      <c r="B90" s="11" t="s">
        <v>208</v>
      </c>
      <c r="C90" s="11" t="s">
        <v>231</v>
      </c>
      <c r="D90" s="5" t="s">
        <v>232</v>
      </c>
      <c r="E90" s="5" t="s">
        <v>233</v>
      </c>
      <c r="F90" s="3" t="n">
        <f aca="false">IF(E90="",0,LEN(E90)-LEN(SUBSTITUTE(E90,CHAR(10),""))+1)</f>
        <v>5</v>
      </c>
      <c r="G90" s="3" t="n">
        <f aca="false">MIN(3,MAX(1,ROUNDUP(F90*0.6,0)))</f>
        <v>3</v>
      </c>
      <c r="H90" s="6" t="s">
        <v>13</v>
      </c>
      <c r="I90" s="3"/>
    </row>
    <row r="91" customFormat="false" ht="95.5" hidden="false" customHeight="false" outlineLevel="0" collapsed="false">
      <c r="A91" s="3" t="n">
        <v>90</v>
      </c>
      <c r="B91" s="11" t="s">
        <v>208</v>
      </c>
      <c r="C91" s="11" t="s">
        <v>234</v>
      </c>
      <c r="D91" s="5" t="s">
        <v>235</v>
      </c>
      <c r="E91" s="5" t="s">
        <v>236</v>
      </c>
      <c r="F91" s="3" t="n">
        <f aca="false">IF(E91="",0,LEN(E91)-LEN(SUBSTITUTE(E91,CHAR(10),""))+1)</f>
        <v>6</v>
      </c>
      <c r="G91" s="3" t="n">
        <f aca="false">MIN(3,MAX(1,ROUNDUP(F91*0.6,0)))</f>
        <v>3</v>
      </c>
      <c r="H91" s="6" t="s">
        <v>13</v>
      </c>
      <c r="I91" s="3"/>
    </row>
    <row r="92" customFormat="false" ht="95.5" hidden="false" customHeight="false" outlineLevel="0" collapsed="false">
      <c r="A92" s="3" t="n">
        <v>91</v>
      </c>
      <c r="B92" s="11" t="s">
        <v>208</v>
      </c>
      <c r="C92" s="12" t="s">
        <v>237</v>
      </c>
      <c r="D92" s="7" t="s">
        <v>238</v>
      </c>
      <c r="E92" s="5" t="s">
        <v>239</v>
      </c>
      <c r="F92" s="3" t="n">
        <f aca="false">IF(E92="",0,LEN(E92)-LEN(SUBSTITUTE(E92,CHAR(10),""))+1)</f>
        <v>6</v>
      </c>
      <c r="G92" s="3" t="n">
        <f aca="false">MIN(3,MAX(1,ROUNDUP(F92*0.6,0)))</f>
        <v>3</v>
      </c>
      <c r="H92" s="6" t="s">
        <v>13</v>
      </c>
      <c r="I92" s="3"/>
    </row>
    <row r="93" customFormat="false" ht="95.5" hidden="false" customHeight="false" outlineLevel="0" collapsed="false">
      <c r="A93" s="3" t="n">
        <v>92</v>
      </c>
      <c r="B93" s="11" t="s">
        <v>208</v>
      </c>
      <c r="C93" s="11" t="s">
        <v>240</v>
      </c>
      <c r="D93" s="5" t="s">
        <v>241</v>
      </c>
      <c r="E93" s="5" t="s">
        <v>242</v>
      </c>
      <c r="F93" s="3" t="n">
        <f aca="false">IF(E93="",0,LEN(E93)-LEN(SUBSTITUTE(E93,CHAR(10),""))+1)</f>
        <v>6</v>
      </c>
      <c r="G93" s="3" t="n">
        <f aca="false">MIN(3,MAX(1,ROUNDUP(F93*0.6,0)))</f>
        <v>3</v>
      </c>
      <c r="H93" s="6" t="s">
        <v>13</v>
      </c>
      <c r="I93" s="3"/>
    </row>
    <row r="94" customFormat="false" ht="111.15" hidden="false" customHeight="false" outlineLevel="0" collapsed="false">
      <c r="A94" s="3" t="n">
        <v>93</v>
      </c>
      <c r="B94" s="11" t="s">
        <v>208</v>
      </c>
      <c r="C94" s="11" t="s">
        <v>243</v>
      </c>
      <c r="D94" s="5" t="s">
        <v>244</v>
      </c>
      <c r="E94" s="5" t="s">
        <v>245</v>
      </c>
      <c r="F94" s="3" t="n">
        <f aca="false">IF(E94="",0,LEN(E94)-LEN(SUBSTITUTE(E94,CHAR(10),""))+1)</f>
        <v>7</v>
      </c>
      <c r="G94" s="3" t="n">
        <f aca="false">MIN(3,MAX(1,ROUNDUP(F94*0.6,0)))</f>
        <v>3</v>
      </c>
      <c r="H94" s="6" t="s">
        <v>13</v>
      </c>
      <c r="I94" s="3"/>
    </row>
    <row r="95" customFormat="false" ht="126.85" hidden="false" customHeight="false" outlineLevel="0" collapsed="false">
      <c r="A95" s="3" t="n">
        <v>94</v>
      </c>
      <c r="B95" s="11" t="s">
        <v>208</v>
      </c>
      <c r="C95" s="11" t="s">
        <v>246</v>
      </c>
      <c r="D95" s="5" t="s">
        <v>247</v>
      </c>
      <c r="E95" s="5" t="s">
        <v>248</v>
      </c>
      <c r="F95" s="3" t="n">
        <f aca="false">IF(E95="",0,LEN(E95)-LEN(SUBSTITUTE(E95,CHAR(10),""))+1)</f>
        <v>8</v>
      </c>
      <c r="G95" s="3" t="n">
        <f aca="false">MIN(3,MAX(1,ROUNDUP(F95*0.6,0)))</f>
        <v>3</v>
      </c>
      <c r="H95" s="6" t="s">
        <v>13</v>
      </c>
      <c r="I95" s="3"/>
    </row>
    <row r="96" customFormat="false" ht="79.85" hidden="false" customHeight="false" outlineLevel="0" collapsed="false">
      <c r="A96" s="3" t="n">
        <v>95</v>
      </c>
      <c r="B96" s="11" t="s">
        <v>208</v>
      </c>
      <c r="C96" s="11" t="s">
        <v>249</v>
      </c>
      <c r="D96" s="5" t="s">
        <v>250</v>
      </c>
      <c r="E96" s="5" t="s">
        <v>251</v>
      </c>
      <c r="F96" s="3" t="n">
        <f aca="false">IF(E96="",0,LEN(E96)-LEN(SUBSTITUTE(E96,CHAR(10),""))+1)</f>
        <v>5</v>
      </c>
      <c r="G96" s="3" t="n">
        <f aca="false">MIN(3,MAX(1,ROUNDUP(F96*0.6,0)))</f>
        <v>3</v>
      </c>
      <c r="H96" s="6" t="s">
        <v>13</v>
      </c>
      <c r="I96" s="3"/>
    </row>
    <row r="97" customFormat="false" ht="79.85" hidden="false" customHeight="false" outlineLevel="0" collapsed="false">
      <c r="A97" s="3" t="n">
        <v>96</v>
      </c>
      <c r="B97" s="11" t="s">
        <v>208</v>
      </c>
      <c r="C97" s="11" t="s">
        <v>249</v>
      </c>
      <c r="D97" s="5" t="s">
        <v>252</v>
      </c>
      <c r="E97" s="5" t="s">
        <v>253</v>
      </c>
      <c r="F97" s="3" t="n">
        <f aca="false">IF(E97="",0,LEN(E97)-LEN(SUBSTITUTE(E97,CHAR(10),""))+1)</f>
        <v>5</v>
      </c>
      <c r="G97" s="3" t="n">
        <f aca="false">MIN(3,MAX(1,ROUNDUP(F97*0.6,0)))</f>
        <v>3</v>
      </c>
      <c r="H97" s="6" t="s">
        <v>13</v>
      </c>
      <c r="I97" s="3"/>
    </row>
    <row r="98" customFormat="false" ht="126.85" hidden="false" customHeight="false" outlineLevel="0" collapsed="false">
      <c r="A98" s="3" t="n">
        <v>97</v>
      </c>
      <c r="B98" s="11" t="s">
        <v>208</v>
      </c>
      <c r="C98" s="11" t="s">
        <v>254</v>
      </c>
      <c r="D98" s="5" t="s">
        <v>255</v>
      </c>
      <c r="E98" s="5" t="s">
        <v>256</v>
      </c>
      <c r="F98" s="3" t="n">
        <f aca="false">IF(E98="",0,LEN(E98)-LEN(SUBSTITUTE(E98,CHAR(10),""))+1)</f>
        <v>8</v>
      </c>
      <c r="G98" s="3" t="n">
        <f aca="false">MIN(3,MAX(1,ROUNDUP(F98*0.6,0)))</f>
        <v>3</v>
      </c>
      <c r="H98" s="6" t="s">
        <v>13</v>
      </c>
      <c r="I98" s="3"/>
    </row>
    <row r="99" customFormat="false" ht="126.85" hidden="false" customHeight="false" outlineLevel="0" collapsed="false">
      <c r="A99" s="3" t="n">
        <v>98</v>
      </c>
      <c r="B99" s="11" t="s">
        <v>208</v>
      </c>
      <c r="C99" s="11" t="s">
        <v>257</v>
      </c>
      <c r="D99" s="5" t="s">
        <v>258</v>
      </c>
      <c r="E99" s="5" t="s">
        <v>259</v>
      </c>
      <c r="F99" s="3" t="n">
        <f aca="false">IF(E99="",0,LEN(E99)-LEN(SUBSTITUTE(E99,CHAR(10),""))+1)</f>
        <v>8</v>
      </c>
      <c r="G99" s="3" t="n">
        <f aca="false">MIN(3,MAX(1,ROUNDUP(F99*0.6,0)))</f>
        <v>3</v>
      </c>
      <c r="H99" s="6" t="s">
        <v>13</v>
      </c>
      <c r="I99" s="3"/>
    </row>
    <row r="100" customFormat="false" ht="79.85" hidden="false" customHeight="false" outlineLevel="0" collapsed="false">
      <c r="A100" s="3" t="n">
        <v>99</v>
      </c>
      <c r="B100" s="11" t="s">
        <v>208</v>
      </c>
      <c r="C100" s="11" t="s">
        <v>260</v>
      </c>
      <c r="D100" s="5" t="s">
        <v>261</v>
      </c>
      <c r="E100" s="5" t="s">
        <v>262</v>
      </c>
      <c r="F100" s="3" t="n">
        <f aca="false">IF(E100="",0,LEN(E100)-LEN(SUBSTITUTE(E100,CHAR(10),""))+1)</f>
        <v>5</v>
      </c>
      <c r="G100" s="3" t="n">
        <f aca="false">MIN(3,MAX(1,ROUNDUP(F100*0.6,0)))</f>
        <v>3</v>
      </c>
      <c r="H100" s="6" t="s">
        <v>13</v>
      </c>
      <c r="I100" s="3"/>
    </row>
    <row r="101" customFormat="false" ht="111.15" hidden="false" customHeight="false" outlineLevel="0" collapsed="false">
      <c r="A101" s="3" t="n">
        <v>100</v>
      </c>
      <c r="B101" s="11" t="s">
        <v>208</v>
      </c>
      <c r="C101" s="11" t="s">
        <v>263</v>
      </c>
      <c r="D101" s="5" t="s">
        <v>264</v>
      </c>
      <c r="E101" s="5" t="s">
        <v>265</v>
      </c>
      <c r="F101" s="3" t="n">
        <f aca="false">IF(E101="",0,LEN(E101)-LEN(SUBSTITUTE(E101,CHAR(10),""))+1)</f>
        <v>7</v>
      </c>
      <c r="G101" s="3" t="n">
        <f aca="false">MIN(3,MAX(1,ROUNDUP(F101*0.6,0)))</f>
        <v>3</v>
      </c>
      <c r="H101" s="6" t="s">
        <v>13</v>
      </c>
      <c r="I101" s="3"/>
    </row>
    <row r="102" customFormat="false" ht="95.5" hidden="false" customHeight="false" outlineLevel="0" collapsed="false">
      <c r="A102" s="3" t="n">
        <v>101</v>
      </c>
      <c r="B102" s="11" t="s">
        <v>208</v>
      </c>
      <c r="C102" s="11" t="s">
        <v>266</v>
      </c>
      <c r="D102" s="5" t="s">
        <v>267</v>
      </c>
      <c r="E102" s="5" t="s">
        <v>268</v>
      </c>
      <c r="F102" s="3" t="n">
        <f aca="false">IF(E102="",0,LEN(E102)-LEN(SUBSTITUTE(E102,CHAR(10),""))+1)</f>
        <v>5</v>
      </c>
      <c r="G102" s="3" t="n">
        <f aca="false">MIN(3,MAX(1,ROUNDUP(F102*0.6,0)))</f>
        <v>3</v>
      </c>
      <c r="H102" s="6" t="s">
        <v>13</v>
      </c>
      <c r="I102" s="3"/>
    </row>
    <row r="103" customFormat="false" ht="95.5" hidden="false" customHeight="false" outlineLevel="0" collapsed="false">
      <c r="A103" s="3" t="n">
        <v>102</v>
      </c>
      <c r="B103" s="11" t="s">
        <v>208</v>
      </c>
      <c r="C103" s="11" t="s">
        <v>269</v>
      </c>
      <c r="D103" s="5" t="s">
        <v>270</v>
      </c>
      <c r="E103" s="5" t="s">
        <v>271</v>
      </c>
      <c r="F103" s="3" t="n">
        <f aca="false">IF(E103="",0,LEN(E103)-LEN(SUBSTITUTE(E103,CHAR(10),""))+1)</f>
        <v>5</v>
      </c>
      <c r="G103" s="3" t="n">
        <f aca="false">MIN(3,MAX(1,ROUNDUP(F103*0.6,0)))</f>
        <v>3</v>
      </c>
      <c r="H103" s="6" t="s">
        <v>13</v>
      </c>
      <c r="I103" s="3"/>
    </row>
    <row r="104" customFormat="false" ht="95.5" hidden="false" customHeight="false" outlineLevel="0" collapsed="false">
      <c r="A104" s="3" t="n">
        <v>103</v>
      </c>
      <c r="B104" s="11" t="s">
        <v>208</v>
      </c>
      <c r="C104" s="11" t="s">
        <v>272</v>
      </c>
      <c r="D104" s="5" t="s">
        <v>273</v>
      </c>
      <c r="E104" s="5" t="s">
        <v>274</v>
      </c>
      <c r="F104" s="3" t="n">
        <f aca="false">IF(E104="",0,LEN(E104)-LEN(SUBSTITUTE(E104,CHAR(10),""))+1)</f>
        <v>6</v>
      </c>
      <c r="G104" s="3" t="n">
        <f aca="false">MIN(3,MAX(1,ROUNDUP(F104*0.6,0)))</f>
        <v>3</v>
      </c>
      <c r="H104" s="6" t="s">
        <v>13</v>
      </c>
      <c r="I104" s="3"/>
    </row>
    <row r="105" customFormat="false" ht="79.85" hidden="false" customHeight="false" outlineLevel="0" collapsed="false">
      <c r="A105" s="3" t="n">
        <v>104</v>
      </c>
      <c r="B105" s="11" t="s">
        <v>208</v>
      </c>
      <c r="C105" s="11" t="s">
        <v>275</v>
      </c>
      <c r="D105" s="5" t="s">
        <v>276</v>
      </c>
      <c r="E105" s="5" t="s">
        <v>277</v>
      </c>
      <c r="F105" s="3" t="n">
        <f aca="false">IF(E105="",0,LEN(E105)-LEN(SUBSTITUTE(E105,CHAR(10),""))+1)</f>
        <v>5</v>
      </c>
      <c r="G105" s="3" t="n">
        <f aca="false">MIN(3,MAX(1,ROUNDUP(F105*0.6,0)))</f>
        <v>3</v>
      </c>
      <c r="H105" s="6" t="s">
        <v>13</v>
      </c>
      <c r="I105" s="3"/>
    </row>
    <row r="106" customFormat="false" ht="95.5" hidden="false" customHeight="false" outlineLevel="0" collapsed="false">
      <c r="A106" s="3" t="n">
        <v>105</v>
      </c>
      <c r="B106" s="11" t="s">
        <v>208</v>
      </c>
      <c r="C106" s="11" t="s">
        <v>278</v>
      </c>
      <c r="D106" s="5" t="s">
        <v>279</v>
      </c>
      <c r="E106" s="5" t="s">
        <v>280</v>
      </c>
      <c r="F106" s="3" t="n">
        <f aca="false">IF(E106="",0,LEN(E106)-LEN(SUBSTITUTE(E106,CHAR(10),""))+1)</f>
        <v>6</v>
      </c>
      <c r="G106" s="3" t="n">
        <f aca="false">MIN(3,MAX(1,ROUNDUP(F106*0.6,0)))</f>
        <v>3</v>
      </c>
      <c r="H106" s="6" t="s">
        <v>13</v>
      </c>
      <c r="I106" s="3"/>
    </row>
    <row r="107" customFormat="false" ht="95.5" hidden="false" customHeight="false" outlineLevel="0" collapsed="false">
      <c r="A107" s="3" t="n">
        <v>106</v>
      </c>
      <c r="B107" s="11" t="s">
        <v>208</v>
      </c>
      <c r="C107" s="11" t="s">
        <v>281</v>
      </c>
      <c r="D107" s="5" t="s">
        <v>282</v>
      </c>
      <c r="E107" s="5" t="s">
        <v>283</v>
      </c>
      <c r="F107" s="3" t="n">
        <f aca="false">IF(E107="",0,LEN(E107)-LEN(SUBSTITUTE(E107,CHAR(10),""))+1)</f>
        <v>6</v>
      </c>
      <c r="G107" s="3" t="n">
        <f aca="false">MIN(3,MAX(1,ROUNDUP(F107*0.6,0)))</f>
        <v>3</v>
      </c>
      <c r="H107" s="6" t="s">
        <v>13</v>
      </c>
      <c r="I107" s="3"/>
    </row>
    <row r="108" customFormat="false" ht="95.5" hidden="false" customHeight="false" outlineLevel="0" collapsed="false">
      <c r="A108" s="3" t="n">
        <v>107</v>
      </c>
      <c r="B108" s="11" t="s">
        <v>208</v>
      </c>
      <c r="C108" s="11" t="s">
        <v>284</v>
      </c>
      <c r="D108" s="5" t="s">
        <v>285</v>
      </c>
      <c r="E108" s="5" t="s">
        <v>286</v>
      </c>
      <c r="F108" s="3" t="n">
        <f aca="false">IF(E108="",0,LEN(E108)-LEN(SUBSTITUTE(E108,CHAR(10),""))+1)</f>
        <v>6</v>
      </c>
      <c r="G108" s="3" t="n">
        <f aca="false">MIN(3,MAX(1,ROUNDUP(F108*0.6,0)))</f>
        <v>3</v>
      </c>
      <c r="H108" s="6" t="s">
        <v>13</v>
      </c>
      <c r="I108" s="3"/>
    </row>
    <row r="109" customFormat="false" ht="126.85" hidden="false" customHeight="false" outlineLevel="0" collapsed="false">
      <c r="A109" s="3" t="n">
        <v>108</v>
      </c>
      <c r="B109" s="11" t="s">
        <v>208</v>
      </c>
      <c r="C109" s="11" t="s">
        <v>287</v>
      </c>
      <c r="D109" s="5" t="s">
        <v>288</v>
      </c>
      <c r="E109" s="5" t="s">
        <v>289</v>
      </c>
      <c r="F109" s="3" t="n">
        <f aca="false">IF(E109="",0,LEN(E109)-LEN(SUBSTITUTE(E109,CHAR(10),""))+1)</f>
        <v>7</v>
      </c>
      <c r="G109" s="3" t="n">
        <f aca="false">MIN(3,MAX(1,ROUNDUP(F109*0.6,0)))</f>
        <v>3</v>
      </c>
      <c r="H109" s="6" t="s">
        <v>13</v>
      </c>
      <c r="I109" s="3"/>
    </row>
    <row r="110" customFormat="false" ht="95.5" hidden="false" customHeight="false" outlineLevel="0" collapsed="false">
      <c r="A110" s="3" t="n">
        <v>109</v>
      </c>
      <c r="B110" s="11" t="s">
        <v>208</v>
      </c>
      <c r="C110" s="11" t="s">
        <v>290</v>
      </c>
      <c r="D110" s="5" t="s">
        <v>291</v>
      </c>
      <c r="E110" s="5" t="s">
        <v>292</v>
      </c>
      <c r="F110" s="3" t="n">
        <f aca="false">IF(E110="",0,LEN(E110)-LEN(SUBSTITUTE(E110,CHAR(10),""))+1)</f>
        <v>6</v>
      </c>
      <c r="G110" s="3" t="n">
        <f aca="false">MIN(3,MAX(1,ROUNDUP(F110*0.6,0)))</f>
        <v>3</v>
      </c>
      <c r="H110" s="6" t="s">
        <v>13</v>
      </c>
      <c r="I110" s="3"/>
    </row>
    <row r="111" customFormat="false" ht="79.85" hidden="false" customHeight="false" outlineLevel="0" collapsed="false">
      <c r="A111" s="3" t="n">
        <v>110</v>
      </c>
      <c r="B111" s="11" t="s">
        <v>208</v>
      </c>
      <c r="C111" s="11" t="s">
        <v>293</v>
      </c>
      <c r="D111" s="5" t="s">
        <v>294</v>
      </c>
      <c r="E111" s="5" t="s">
        <v>295</v>
      </c>
      <c r="F111" s="3" t="n">
        <f aca="false">IF(E111="",0,LEN(E111)-LEN(SUBSTITUTE(E111,CHAR(10),""))+1)</f>
        <v>5</v>
      </c>
      <c r="G111" s="3" t="n">
        <f aca="false">MIN(3,MAX(1,ROUNDUP(F111*0.6,0)))</f>
        <v>3</v>
      </c>
      <c r="H111" s="6" t="s">
        <v>13</v>
      </c>
      <c r="I111" s="3"/>
    </row>
    <row r="112" customFormat="false" ht="79.85" hidden="false" customHeight="false" outlineLevel="0" collapsed="false">
      <c r="A112" s="3" t="n">
        <v>111</v>
      </c>
      <c r="B112" s="11" t="s">
        <v>208</v>
      </c>
      <c r="C112" s="11" t="s">
        <v>296</v>
      </c>
      <c r="D112" s="5" t="s">
        <v>297</v>
      </c>
      <c r="E112" s="5" t="s">
        <v>298</v>
      </c>
      <c r="F112" s="3" t="n">
        <f aca="false">IF(E112="",0,LEN(E112)-LEN(SUBSTITUTE(E112,CHAR(10),""))+1)</f>
        <v>4</v>
      </c>
      <c r="G112" s="3" t="n">
        <f aca="false">MIN(3,MAX(1,ROUNDUP(F112*0.6,0)))</f>
        <v>3</v>
      </c>
      <c r="H112" s="6" t="s">
        <v>13</v>
      </c>
      <c r="I112" s="3"/>
    </row>
    <row r="113" customFormat="false" ht="111.15" hidden="false" customHeight="false" outlineLevel="0" collapsed="false">
      <c r="A113" s="3" t="n">
        <v>112</v>
      </c>
      <c r="B113" s="11" t="s">
        <v>208</v>
      </c>
      <c r="C113" s="11" t="s">
        <v>299</v>
      </c>
      <c r="D113" s="5" t="s">
        <v>300</v>
      </c>
      <c r="E113" s="5" t="s">
        <v>301</v>
      </c>
      <c r="F113" s="3" t="n">
        <f aca="false">IF(E113="",0,LEN(E113)-LEN(SUBSTITUTE(E113,CHAR(10),""))+1)</f>
        <v>7</v>
      </c>
      <c r="G113" s="3" t="n">
        <f aca="false">MIN(3,MAX(1,ROUNDUP(F113*0.6,0)))</f>
        <v>3</v>
      </c>
      <c r="H113" s="6" t="s">
        <v>13</v>
      </c>
      <c r="I113" s="3"/>
    </row>
    <row r="114" customFormat="false" ht="111.15" hidden="false" customHeight="false" outlineLevel="0" collapsed="false">
      <c r="A114" s="3" t="n">
        <v>113</v>
      </c>
      <c r="B114" s="11" t="s">
        <v>208</v>
      </c>
      <c r="C114" s="11" t="s">
        <v>302</v>
      </c>
      <c r="D114" s="5" t="s">
        <v>303</v>
      </c>
      <c r="E114" s="5" t="s">
        <v>304</v>
      </c>
      <c r="F114" s="3" t="n">
        <f aca="false">IF(E114="",0,LEN(E114)-LEN(SUBSTITUTE(E114,CHAR(10),""))+1)</f>
        <v>7</v>
      </c>
      <c r="G114" s="3" t="n">
        <f aca="false">MIN(3,MAX(1,ROUNDUP(F114*0.6,0)))</f>
        <v>3</v>
      </c>
      <c r="H114" s="6" t="s">
        <v>13</v>
      </c>
      <c r="I114" s="3"/>
    </row>
    <row r="115" customFormat="false" ht="95.5" hidden="false" customHeight="false" outlineLevel="0" collapsed="false">
      <c r="A115" s="3" t="n">
        <v>114</v>
      </c>
      <c r="B115" s="11" t="s">
        <v>208</v>
      </c>
      <c r="C115" s="11" t="s">
        <v>305</v>
      </c>
      <c r="D115" s="5" t="s">
        <v>306</v>
      </c>
      <c r="E115" s="5" t="s">
        <v>307</v>
      </c>
      <c r="F115" s="3" t="n">
        <f aca="false">IF(E115="",0,LEN(E115)-LEN(SUBSTITUTE(E115,CHAR(10),""))+1)</f>
        <v>6</v>
      </c>
      <c r="G115" s="3" t="n">
        <f aca="false">MIN(3,MAX(1,ROUNDUP(F115*0.6,0)))</f>
        <v>3</v>
      </c>
      <c r="H115" s="6" t="s">
        <v>13</v>
      </c>
      <c r="I115" s="3"/>
    </row>
    <row r="116" customFormat="false" ht="95.5" hidden="false" customHeight="false" outlineLevel="0" collapsed="false">
      <c r="A116" s="3" t="n">
        <v>115</v>
      </c>
      <c r="B116" s="11" t="s">
        <v>208</v>
      </c>
      <c r="C116" s="11" t="s">
        <v>308</v>
      </c>
      <c r="D116" s="5" t="s">
        <v>309</v>
      </c>
      <c r="E116" s="5" t="s">
        <v>310</v>
      </c>
      <c r="F116" s="3" t="n">
        <f aca="false">IF(E116="",0,LEN(E116)-LEN(SUBSTITUTE(E116,CHAR(10),""))+1)</f>
        <v>6</v>
      </c>
      <c r="G116" s="3" t="n">
        <f aca="false">MIN(3,MAX(1,ROUNDUP(F116*0.6,0)))</f>
        <v>3</v>
      </c>
      <c r="H116" s="6" t="s">
        <v>13</v>
      </c>
      <c r="I116" s="3"/>
    </row>
    <row r="117" customFormat="false" ht="79.85" hidden="false" customHeight="false" outlineLevel="0" collapsed="false">
      <c r="A117" s="3" t="n">
        <v>116</v>
      </c>
      <c r="B117" s="11" t="s">
        <v>208</v>
      </c>
      <c r="C117" s="11" t="s">
        <v>311</v>
      </c>
      <c r="D117" s="5" t="s">
        <v>312</v>
      </c>
      <c r="E117" s="5" t="s">
        <v>313</v>
      </c>
      <c r="F117" s="3" t="n">
        <f aca="false">IF(E117="",0,LEN(E117)-LEN(SUBSTITUTE(E117,CHAR(10),""))+1)</f>
        <v>5</v>
      </c>
      <c r="G117" s="3" t="n">
        <f aca="false">MIN(3,MAX(1,ROUNDUP(F117*0.6,0)))</f>
        <v>3</v>
      </c>
      <c r="H117" s="6" t="s">
        <v>13</v>
      </c>
      <c r="I117" s="3"/>
    </row>
    <row r="118" customFormat="false" ht="95.5" hidden="false" customHeight="false" outlineLevel="0" collapsed="false">
      <c r="A118" s="3" t="n">
        <v>117</v>
      </c>
      <c r="B118" s="11" t="s">
        <v>208</v>
      </c>
      <c r="C118" s="11" t="s">
        <v>314</v>
      </c>
      <c r="D118" s="5" t="s">
        <v>315</v>
      </c>
      <c r="E118" s="5" t="s">
        <v>316</v>
      </c>
      <c r="F118" s="3" t="n">
        <f aca="false">IF(E118="",0,LEN(E118)-LEN(SUBSTITUTE(E118,CHAR(10),""))+1)</f>
        <v>5</v>
      </c>
      <c r="G118" s="3" t="n">
        <f aca="false">MIN(3,MAX(1,ROUNDUP(F118*0.6,0)))</f>
        <v>3</v>
      </c>
      <c r="H118" s="6" t="s">
        <v>13</v>
      </c>
      <c r="I118" s="3"/>
    </row>
    <row r="119" customFormat="false" ht="111.15" hidden="false" customHeight="false" outlineLevel="0" collapsed="false">
      <c r="A119" s="3" t="n">
        <v>118</v>
      </c>
      <c r="B119" s="11" t="s">
        <v>208</v>
      </c>
      <c r="C119" s="11" t="s">
        <v>317</v>
      </c>
      <c r="D119" s="5" t="s">
        <v>318</v>
      </c>
      <c r="E119" s="5" t="s">
        <v>319</v>
      </c>
      <c r="F119" s="3" t="n">
        <f aca="false">IF(E119="",0,LEN(E119)-LEN(SUBSTITUTE(E119,CHAR(10),""))+1)</f>
        <v>7</v>
      </c>
      <c r="G119" s="3" t="n">
        <f aca="false">MIN(3,MAX(1,ROUNDUP(F119*0.6,0)))</f>
        <v>3</v>
      </c>
      <c r="H119" s="6" t="s">
        <v>13</v>
      </c>
      <c r="I119" s="3"/>
    </row>
    <row r="120" customFormat="false" ht="95.5" hidden="false" customHeight="false" outlineLevel="0" collapsed="false">
      <c r="A120" s="3" t="n">
        <v>119</v>
      </c>
      <c r="B120" s="11" t="s">
        <v>208</v>
      </c>
      <c r="C120" s="11" t="s">
        <v>320</v>
      </c>
      <c r="D120" s="5" t="s">
        <v>321</v>
      </c>
      <c r="E120" s="5" t="s">
        <v>322</v>
      </c>
      <c r="F120" s="3" t="n">
        <f aca="false">IF(E120="",0,LEN(E120)-LEN(SUBSTITUTE(E120,CHAR(10),""))+1)</f>
        <v>6</v>
      </c>
      <c r="G120" s="3" t="n">
        <f aca="false">MIN(3,MAX(1,ROUNDUP(F120*0.6,0)))</f>
        <v>3</v>
      </c>
      <c r="H120" s="6" t="s">
        <v>13</v>
      </c>
      <c r="I120" s="3"/>
    </row>
    <row r="121" customFormat="false" ht="111.15" hidden="false" customHeight="false" outlineLevel="0" collapsed="false">
      <c r="A121" s="3" t="n">
        <v>120</v>
      </c>
      <c r="B121" s="13" t="s">
        <v>323</v>
      </c>
      <c r="C121" s="13" t="s">
        <v>324</v>
      </c>
      <c r="D121" s="5" t="s">
        <v>325</v>
      </c>
      <c r="E121" s="5" t="s">
        <v>326</v>
      </c>
      <c r="F121" s="3" t="n">
        <f aca="false">IF(E121="",0,LEN(E121)-LEN(SUBSTITUTE(E121,CHAR(10),""))+1)</f>
        <v>7</v>
      </c>
      <c r="G121" s="3" t="n">
        <f aca="false">MIN(3,MAX(1,ROUNDUP(F121*0.6,0)))</f>
        <v>3</v>
      </c>
      <c r="H121" s="6" t="s">
        <v>13</v>
      </c>
      <c r="I121" s="3"/>
    </row>
    <row r="122" customFormat="false" ht="95.5" hidden="false" customHeight="false" outlineLevel="0" collapsed="false">
      <c r="A122" s="3" t="n">
        <v>121</v>
      </c>
      <c r="B122" s="13" t="s">
        <v>323</v>
      </c>
      <c r="C122" s="13" t="s">
        <v>324</v>
      </c>
      <c r="D122" s="5" t="s">
        <v>327</v>
      </c>
      <c r="E122" s="5" t="s">
        <v>328</v>
      </c>
      <c r="F122" s="3" t="n">
        <f aca="false">IF(E122="",0,LEN(E122)-LEN(SUBSTITUTE(E122,CHAR(10),""))+1)</f>
        <v>6</v>
      </c>
      <c r="G122" s="3" t="n">
        <f aca="false">MIN(3,MAX(1,ROUNDUP(F122*0.6,0)))</f>
        <v>3</v>
      </c>
      <c r="H122" s="6" t="s">
        <v>13</v>
      </c>
      <c r="I122" s="3"/>
    </row>
    <row r="123" customFormat="false" ht="111.15" hidden="false" customHeight="false" outlineLevel="0" collapsed="false">
      <c r="A123" s="3" t="n">
        <v>122</v>
      </c>
      <c r="B123" s="13" t="s">
        <v>323</v>
      </c>
      <c r="C123" s="13" t="s">
        <v>324</v>
      </c>
      <c r="D123" s="5" t="s">
        <v>329</v>
      </c>
      <c r="E123" s="5" t="s">
        <v>330</v>
      </c>
      <c r="F123" s="3" t="n">
        <f aca="false">IF(E123="",0,LEN(E123)-LEN(SUBSTITUTE(E123,CHAR(10),""))+1)</f>
        <v>7</v>
      </c>
      <c r="G123" s="3" t="n">
        <f aca="false">MIN(3,MAX(1,ROUNDUP(F123*0.6,0)))</f>
        <v>3</v>
      </c>
      <c r="H123" s="6" t="s">
        <v>13</v>
      </c>
      <c r="I123" s="3"/>
    </row>
    <row r="124" customFormat="false" ht="111.15" hidden="false" customHeight="false" outlineLevel="0" collapsed="false">
      <c r="A124" s="3" t="n">
        <v>123</v>
      </c>
      <c r="B124" s="13" t="s">
        <v>323</v>
      </c>
      <c r="C124" s="13" t="s">
        <v>331</v>
      </c>
      <c r="D124" s="5" t="s">
        <v>332</v>
      </c>
      <c r="E124" s="5" t="s">
        <v>333</v>
      </c>
      <c r="F124" s="3" t="n">
        <f aca="false">IF(E124="",0,LEN(E124)-LEN(SUBSTITUTE(E124,CHAR(10),""))+1)</f>
        <v>7</v>
      </c>
      <c r="G124" s="3" t="n">
        <f aca="false">MIN(3,MAX(1,ROUNDUP(F124*0.6,0)))</f>
        <v>3</v>
      </c>
      <c r="H124" s="6" t="s">
        <v>13</v>
      </c>
      <c r="I124" s="3"/>
    </row>
    <row r="125" customFormat="false" ht="111.15" hidden="false" customHeight="false" outlineLevel="0" collapsed="false">
      <c r="A125" s="3" t="n">
        <v>124</v>
      </c>
      <c r="B125" s="13" t="s">
        <v>323</v>
      </c>
      <c r="C125" s="13" t="s">
        <v>334</v>
      </c>
      <c r="D125" s="5" t="s">
        <v>335</v>
      </c>
      <c r="E125" s="5" t="s">
        <v>336</v>
      </c>
      <c r="F125" s="3" t="n">
        <f aca="false">IF(E125="",0,LEN(E125)-LEN(SUBSTITUTE(E125,CHAR(10),""))+1)</f>
        <v>7</v>
      </c>
      <c r="G125" s="3" t="n">
        <f aca="false">MIN(3,MAX(1,ROUNDUP(F125*0.6,0)))</f>
        <v>3</v>
      </c>
      <c r="H125" s="6" t="s">
        <v>13</v>
      </c>
      <c r="I125" s="3"/>
    </row>
    <row r="126" customFormat="false" ht="95.5" hidden="false" customHeight="false" outlineLevel="0" collapsed="false">
      <c r="A126" s="3" t="n">
        <v>125</v>
      </c>
      <c r="B126" s="13" t="s">
        <v>323</v>
      </c>
      <c r="C126" s="13" t="s">
        <v>334</v>
      </c>
      <c r="D126" s="5" t="s">
        <v>337</v>
      </c>
      <c r="E126" s="5" t="s">
        <v>338</v>
      </c>
      <c r="F126" s="3" t="n">
        <f aca="false">IF(E126="",0,LEN(E126)-LEN(SUBSTITUTE(E126,CHAR(10),""))+1)</f>
        <v>6</v>
      </c>
      <c r="G126" s="3" t="n">
        <f aca="false">MIN(3,MAX(1,ROUNDUP(F126*0.6,0)))</f>
        <v>3</v>
      </c>
      <c r="H126" s="6" t="s">
        <v>13</v>
      </c>
      <c r="I126" s="3"/>
    </row>
    <row r="127" customFormat="false" ht="111.15" hidden="false" customHeight="false" outlineLevel="0" collapsed="false">
      <c r="A127" s="3" t="n">
        <v>126</v>
      </c>
      <c r="B127" s="13" t="s">
        <v>323</v>
      </c>
      <c r="C127" s="13" t="s">
        <v>339</v>
      </c>
      <c r="D127" s="5" t="s">
        <v>340</v>
      </c>
      <c r="E127" s="5" t="s">
        <v>341</v>
      </c>
      <c r="F127" s="3" t="n">
        <f aca="false">IF(E127="",0,LEN(E127)-LEN(SUBSTITUTE(E127,CHAR(10),""))+1)</f>
        <v>7</v>
      </c>
      <c r="G127" s="3" t="n">
        <f aca="false">MIN(3,MAX(1,ROUNDUP(F127*0.6,0)))</f>
        <v>3</v>
      </c>
      <c r="H127" s="6" t="s">
        <v>13</v>
      </c>
      <c r="I127" s="3"/>
    </row>
    <row r="128" customFormat="false" ht="95.5" hidden="false" customHeight="false" outlineLevel="0" collapsed="false">
      <c r="A128" s="3" t="n">
        <v>127</v>
      </c>
      <c r="B128" s="13" t="s">
        <v>323</v>
      </c>
      <c r="C128" s="13" t="s">
        <v>342</v>
      </c>
      <c r="D128" s="5" t="s">
        <v>343</v>
      </c>
      <c r="E128" s="5" t="s">
        <v>344</v>
      </c>
      <c r="F128" s="3" t="n">
        <f aca="false">IF(E128="",0,LEN(E128)-LEN(SUBSTITUTE(E128,CHAR(10),""))+1)</f>
        <v>6</v>
      </c>
      <c r="G128" s="3" t="n">
        <f aca="false">MIN(3,MAX(1,ROUNDUP(F128*0.6,0)))</f>
        <v>3</v>
      </c>
      <c r="H128" s="6" t="s">
        <v>13</v>
      </c>
      <c r="I128" s="3"/>
    </row>
    <row r="129" customFormat="false" ht="111.15" hidden="false" customHeight="false" outlineLevel="0" collapsed="false">
      <c r="A129" s="3" t="n">
        <v>128</v>
      </c>
      <c r="B129" s="13" t="s">
        <v>323</v>
      </c>
      <c r="C129" s="13" t="s">
        <v>345</v>
      </c>
      <c r="D129" s="5" t="s">
        <v>346</v>
      </c>
      <c r="E129" s="5" t="s">
        <v>347</v>
      </c>
      <c r="F129" s="3" t="n">
        <f aca="false">IF(E129="",0,LEN(E129)-LEN(SUBSTITUTE(E129,CHAR(10),""))+1)</f>
        <v>6</v>
      </c>
      <c r="G129" s="3" t="n">
        <f aca="false">MIN(3,MAX(1,ROUNDUP(F129*0.6,0)))</f>
        <v>3</v>
      </c>
      <c r="H129" s="6" t="s">
        <v>13</v>
      </c>
      <c r="I129" s="3"/>
    </row>
    <row r="130" customFormat="false" ht="111.15" hidden="false" customHeight="false" outlineLevel="0" collapsed="false">
      <c r="A130" s="3" t="n">
        <v>129</v>
      </c>
      <c r="B130" s="13" t="s">
        <v>323</v>
      </c>
      <c r="C130" s="13" t="s">
        <v>345</v>
      </c>
      <c r="D130" s="5" t="s">
        <v>348</v>
      </c>
      <c r="E130" s="5" t="s">
        <v>349</v>
      </c>
      <c r="F130" s="3" t="n">
        <f aca="false">IF(E130="",0,LEN(E130)-LEN(SUBSTITUTE(E130,CHAR(10),""))+1)</f>
        <v>7</v>
      </c>
      <c r="G130" s="3" t="n">
        <f aca="false">MIN(3,MAX(1,ROUNDUP(F130*0.6,0)))</f>
        <v>3</v>
      </c>
      <c r="H130" s="6" t="s">
        <v>13</v>
      </c>
      <c r="I130" s="3"/>
    </row>
    <row r="131" customFormat="false" ht="95.5" hidden="false" customHeight="false" outlineLevel="0" collapsed="false">
      <c r="A131" s="3" t="n">
        <v>130</v>
      </c>
      <c r="B131" s="13" t="s">
        <v>323</v>
      </c>
      <c r="C131" s="13" t="s">
        <v>350</v>
      </c>
      <c r="D131" s="5" t="s">
        <v>351</v>
      </c>
      <c r="E131" s="5" t="s">
        <v>352</v>
      </c>
      <c r="F131" s="3" t="n">
        <f aca="false">IF(E131="",0,LEN(E131)-LEN(SUBSTITUTE(E131,CHAR(10),""))+1)</f>
        <v>6</v>
      </c>
      <c r="G131" s="3" t="n">
        <f aca="false">MIN(3,MAX(1,ROUNDUP(F131*0.6,0)))</f>
        <v>3</v>
      </c>
      <c r="H131" s="6" t="s">
        <v>13</v>
      </c>
      <c r="I131" s="3"/>
    </row>
    <row r="132" customFormat="false" ht="95.5" hidden="false" customHeight="false" outlineLevel="0" collapsed="false">
      <c r="A132" s="3" t="n">
        <v>131</v>
      </c>
      <c r="B132" s="13" t="s">
        <v>323</v>
      </c>
      <c r="C132" s="13" t="s">
        <v>353</v>
      </c>
      <c r="D132" s="5" t="s">
        <v>354</v>
      </c>
      <c r="E132" s="5" t="s">
        <v>355</v>
      </c>
      <c r="F132" s="3" t="n">
        <f aca="false">IF(E132="",0,LEN(E132)-LEN(SUBSTITUTE(E132,CHAR(10),""))+1)</f>
        <v>6</v>
      </c>
      <c r="G132" s="3" t="n">
        <f aca="false">MIN(3,MAX(1,ROUNDUP(F132*0.6,0)))</f>
        <v>3</v>
      </c>
      <c r="H132" s="6" t="s">
        <v>13</v>
      </c>
      <c r="I132" s="3"/>
    </row>
    <row r="133" customFormat="false" ht="79.85" hidden="false" customHeight="false" outlineLevel="0" collapsed="false">
      <c r="A133" s="3" t="n">
        <v>132</v>
      </c>
      <c r="B133" s="13" t="s">
        <v>323</v>
      </c>
      <c r="C133" s="13" t="s">
        <v>353</v>
      </c>
      <c r="D133" s="5" t="s">
        <v>356</v>
      </c>
      <c r="E133" s="5" t="s">
        <v>357</v>
      </c>
      <c r="F133" s="3" t="n">
        <f aca="false">IF(E133="",0,LEN(E133)-LEN(SUBSTITUTE(E133,CHAR(10),""))+1)</f>
        <v>5</v>
      </c>
      <c r="G133" s="3" t="n">
        <f aca="false">MIN(3,MAX(1,ROUNDUP(F133*0.6,0)))</f>
        <v>3</v>
      </c>
      <c r="H133" s="6" t="s">
        <v>13</v>
      </c>
      <c r="I133" s="3"/>
    </row>
    <row r="134" customFormat="false" ht="79.85" hidden="false" customHeight="false" outlineLevel="0" collapsed="false">
      <c r="A134" s="3" t="n">
        <v>133</v>
      </c>
      <c r="B134" s="13" t="s">
        <v>323</v>
      </c>
      <c r="C134" s="13" t="s">
        <v>358</v>
      </c>
      <c r="D134" s="5" t="s">
        <v>359</v>
      </c>
      <c r="E134" s="5" t="s">
        <v>360</v>
      </c>
      <c r="F134" s="3" t="n">
        <f aca="false">IF(E134="",0,LEN(E134)-LEN(SUBSTITUTE(E134,CHAR(10),""))+1)</f>
        <v>5</v>
      </c>
      <c r="G134" s="3" t="n">
        <f aca="false">MIN(3,MAX(1,ROUNDUP(F134*0.6,0)))</f>
        <v>3</v>
      </c>
      <c r="H134" s="6" t="s">
        <v>13</v>
      </c>
      <c r="I134" s="3"/>
    </row>
    <row r="135" customFormat="false" ht="79.85" hidden="false" customHeight="false" outlineLevel="0" collapsed="false">
      <c r="A135" s="3" t="n">
        <v>134</v>
      </c>
      <c r="B135" s="13" t="s">
        <v>323</v>
      </c>
      <c r="C135" s="13" t="s">
        <v>358</v>
      </c>
      <c r="D135" s="5" t="s">
        <v>361</v>
      </c>
      <c r="E135" s="5" t="s">
        <v>362</v>
      </c>
      <c r="F135" s="3" t="n">
        <f aca="false">IF(E135="",0,LEN(E135)-LEN(SUBSTITUTE(E135,CHAR(10),""))+1)</f>
        <v>5</v>
      </c>
      <c r="G135" s="3" t="n">
        <f aca="false">MIN(3,MAX(1,ROUNDUP(F135*0.6,0)))</f>
        <v>3</v>
      </c>
      <c r="H135" s="6" t="s">
        <v>13</v>
      </c>
      <c r="I135" s="3"/>
    </row>
    <row r="136" customFormat="false" ht="95.5" hidden="false" customHeight="false" outlineLevel="0" collapsed="false">
      <c r="A136" s="3" t="n">
        <v>135</v>
      </c>
      <c r="B136" s="13" t="s">
        <v>323</v>
      </c>
      <c r="C136" s="13" t="s">
        <v>363</v>
      </c>
      <c r="D136" s="5" t="s">
        <v>364</v>
      </c>
      <c r="E136" s="5" t="s">
        <v>365</v>
      </c>
      <c r="F136" s="3" t="n">
        <f aca="false">IF(E136="",0,LEN(E136)-LEN(SUBSTITUTE(E136,CHAR(10),""))+1)</f>
        <v>6</v>
      </c>
      <c r="G136" s="3" t="n">
        <f aca="false">MIN(3,MAX(1,ROUNDUP(F136*0.6,0)))</f>
        <v>3</v>
      </c>
      <c r="H136" s="6" t="s">
        <v>13</v>
      </c>
      <c r="I136" s="3"/>
    </row>
    <row r="137" customFormat="false" ht="111.15" hidden="false" customHeight="false" outlineLevel="0" collapsed="false">
      <c r="A137" s="3" t="n">
        <v>136</v>
      </c>
      <c r="B137" s="13" t="s">
        <v>323</v>
      </c>
      <c r="C137" s="13" t="s">
        <v>366</v>
      </c>
      <c r="D137" s="7" t="s">
        <v>367</v>
      </c>
      <c r="E137" s="5" t="s">
        <v>368</v>
      </c>
      <c r="F137" s="3" t="n">
        <f aca="false">IF(E137="",0,LEN(E137)-LEN(SUBSTITUTE(E137,CHAR(10),""))+1)</f>
        <v>7</v>
      </c>
      <c r="G137" s="3" t="n">
        <f aca="false">MIN(3,MAX(1,ROUNDUP(F137*0.6,0)))</f>
        <v>3</v>
      </c>
      <c r="H137" s="6" t="s">
        <v>13</v>
      </c>
      <c r="I137" s="3"/>
    </row>
    <row r="138" customFormat="false" ht="64.15" hidden="false" customHeight="false" outlineLevel="0" collapsed="false">
      <c r="A138" s="3" t="n">
        <v>137</v>
      </c>
      <c r="B138" s="13" t="s">
        <v>323</v>
      </c>
      <c r="C138" s="13" t="s">
        <v>366</v>
      </c>
      <c r="D138" s="5" t="s">
        <v>369</v>
      </c>
      <c r="E138" s="5" t="s">
        <v>370</v>
      </c>
      <c r="F138" s="3" t="n">
        <f aca="false">IF(E138="",0,LEN(E138)-LEN(SUBSTITUTE(E138,CHAR(10),""))+1)</f>
        <v>4</v>
      </c>
      <c r="G138" s="3" t="n">
        <f aca="false">MIN(3,MAX(1,ROUNDUP(F138*0.6,0)))</f>
        <v>3</v>
      </c>
      <c r="H138" s="6" t="s">
        <v>13</v>
      </c>
      <c r="I138" s="3"/>
    </row>
    <row r="139" customFormat="false" ht="111.15" hidden="false" customHeight="false" outlineLevel="0" collapsed="false">
      <c r="A139" s="3" t="n">
        <v>138</v>
      </c>
      <c r="B139" s="13" t="s">
        <v>323</v>
      </c>
      <c r="C139" s="13" t="s">
        <v>371</v>
      </c>
      <c r="D139" s="5" t="s">
        <v>372</v>
      </c>
      <c r="E139" s="5" t="s">
        <v>373</v>
      </c>
      <c r="F139" s="3" t="n">
        <f aca="false">IF(E139="",0,LEN(E139)-LEN(SUBSTITUTE(E139,CHAR(10),""))+1)</f>
        <v>7</v>
      </c>
      <c r="G139" s="3" t="n">
        <f aca="false">MIN(3,MAX(1,ROUNDUP(F139*0.6,0)))</f>
        <v>3</v>
      </c>
      <c r="H139" s="6" t="s">
        <v>13</v>
      </c>
      <c r="I139" s="3"/>
    </row>
    <row r="140" customFormat="false" ht="111.15" hidden="false" customHeight="false" outlineLevel="0" collapsed="false">
      <c r="A140" s="3" t="n">
        <v>139</v>
      </c>
      <c r="B140" s="13" t="s">
        <v>323</v>
      </c>
      <c r="C140" s="13" t="s">
        <v>371</v>
      </c>
      <c r="D140" s="5" t="s">
        <v>374</v>
      </c>
      <c r="E140" s="5" t="s">
        <v>375</v>
      </c>
      <c r="F140" s="3" t="n">
        <f aca="false">IF(E140="",0,LEN(E140)-LEN(SUBSTITUTE(E140,CHAR(10),""))+1)</f>
        <v>6</v>
      </c>
      <c r="G140" s="3" t="n">
        <f aca="false">MIN(3,MAX(1,ROUNDUP(F140*0.6,0)))</f>
        <v>3</v>
      </c>
      <c r="H140" s="6" t="s">
        <v>13</v>
      </c>
      <c r="I140" s="3"/>
    </row>
    <row r="141" customFormat="false" ht="111.15" hidden="false" customHeight="false" outlineLevel="0" collapsed="false">
      <c r="A141" s="3" t="n">
        <v>140</v>
      </c>
      <c r="B141" s="13" t="s">
        <v>323</v>
      </c>
      <c r="C141" s="13" t="s">
        <v>376</v>
      </c>
      <c r="D141" s="5" t="s">
        <v>377</v>
      </c>
      <c r="E141" s="5" t="s">
        <v>378</v>
      </c>
      <c r="F141" s="3" t="n">
        <f aca="false">IF(E141="",0,LEN(E141)-LEN(SUBSTITUTE(E141,CHAR(10),""))+1)</f>
        <v>7</v>
      </c>
      <c r="G141" s="3" t="n">
        <f aca="false">MIN(3,MAX(1,ROUNDUP(F141*0.6,0)))</f>
        <v>3</v>
      </c>
      <c r="H141" s="6" t="s">
        <v>13</v>
      </c>
      <c r="I141" s="3"/>
    </row>
    <row r="142" customFormat="false" ht="79.85" hidden="false" customHeight="false" outlineLevel="0" collapsed="false">
      <c r="A142" s="3" t="n">
        <v>141</v>
      </c>
      <c r="B142" s="13" t="s">
        <v>323</v>
      </c>
      <c r="C142" s="13" t="s">
        <v>379</v>
      </c>
      <c r="D142" s="5" t="s">
        <v>380</v>
      </c>
      <c r="E142" s="5" t="s">
        <v>381</v>
      </c>
      <c r="F142" s="3" t="n">
        <f aca="false">IF(E142="",0,LEN(E142)-LEN(SUBSTITUTE(E142,CHAR(10),""))+1)</f>
        <v>4</v>
      </c>
      <c r="G142" s="3" t="n">
        <f aca="false">MIN(3,MAX(1,ROUNDUP(F142*0.6,0)))</f>
        <v>3</v>
      </c>
      <c r="H142" s="6" t="s">
        <v>13</v>
      </c>
      <c r="I142" s="3"/>
    </row>
    <row r="143" customFormat="false" ht="111.15" hidden="false" customHeight="false" outlineLevel="0" collapsed="false">
      <c r="A143" s="3" t="n">
        <v>142</v>
      </c>
      <c r="B143" s="13" t="s">
        <v>323</v>
      </c>
      <c r="C143" s="13" t="s">
        <v>382</v>
      </c>
      <c r="D143" s="5" t="s">
        <v>383</v>
      </c>
      <c r="E143" s="5" t="s">
        <v>384</v>
      </c>
      <c r="F143" s="3" t="n">
        <f aca="false">IF(E143="",0,LEN(E143)-LEN(SUBSTITUTE(E143,CHAR(10),""))+1)</f>
        <v>7</v>
      </c>
      <c r="G143" s="3" t="n">
        <f aca="false">MIN(3,MAX(1,ROUNDUP(F143*0.6,0)))</f>
        <v>3</v>
      </c>
      <c r="H143" s="6" t="s">
        <v>13</v>
      </c>
      <c r="I143" s="3"/>
    </row>
    <row r="144" customFormat="false" ht="95.5" hidden="false" customHeight="false" outlineLevel="0" collapsed="false">
      <c r="A144" s="3" t="n">
        <v>143</v>
      </c>
      <c r="B144" s="13" t="s">
        <v>323</v>
      </c>
      <c r="C144" s="13" t="s">
        <v>385</v>
      </c>
      <c r="D144" s="5" t="s">
        <v>386</v>
      </c>
      <c r="E144" s="5" t="s">
        <v>387</v>
      </c>
      <c r="F144" s="3" t="n">
        <f aca="false">IF(E144="",0,LEN(E144)-LEN(SUBSTITUTE(E144,CHAR(10),""))+1)</f>
        <v>6</v>
      </c>
      <c r="G144" s="3" t="n">
        <f aca="false">MIN(3,MAX(1,ROUNDUP(F144*0.6,0)))</f>
        <v>3</v>
      </c>
      <c r="H144" s="6" t="s">
        <v>13</v>
      </c>
      <c r="I144" s="3"/>
    </row>
    <row r="145" customFormat="false" ht="64.15" hidden="false" customHeight="false" outlineLevel="0" collapsed="false">
      <c r="A145" s="3" t="n">
        <v>144</v>
      </c>
      <c r="B145" s="13" t="s">
        <v>323</v>
      </c>
      <c r="C145" s="13" t="s">
        <v>388</v>
      </c>
      <c r="D145" s="5" t="s">
        <v>389</v>
      </c>
      <c r="E145" s="5" t="s">
        <v>390</v>
      </c>
      <c r="F145" s="3" t="n">
        <f aca="false">IF(E145="",0,LEN(E145)-LEN(SUBSTITUTE(E145,CHAR(10),""))+1)</f>
        <v>4</v>
      </c>
      <c r="G145" s="3" t="n">
        <f aca="false">MIN(3,MAX(1,ROUNDUP(F145*0.6,0)))</f>
        <v>3</v>
      </c>
      <c r="H145" s="6" t="s">
        <v>13</v>
      </c>
      <c r="I145" s="3"/>
    </row>
    <row r="146" customFormat="false" ht="111.15" hidden="false" customHeight="false" outlineLevel="0" collapsed="false">
      <c r="A146" s="3" t="n">
        <v>145</v>
      </c>
      <c r="B146" s="13" t="s">
        <v>323</v>
      </c>
      <c r="C146" s="13" t="s">
        <v>391</v>
      </c>
      <c r="D146" s="5" t="s">
        <v>392</v>
      </c>
      <c r="E146" s="5" t="s">
        <v>393</v>
      </c>
      <c r="F146" s="3" t="n">
        <f aca="false">IF(E146="",0,LEN(E146)-LEN(SUBSTITUTE(E146,CHAR(10),""))+1)</f>
        <v>7</v>
      </c>
      <c r="G146" s="3" t="n">
        <f aca="false">MIN(3,MAX(1,ROUNDUP(F146*0.6,0)))</f>
        <v>3</v>
      </c>
      <c r="H146" s="6" t="s">
        <v>13</v>
      </c>
      <c r="I146" s="3"/>
    </row>
    <row r="147" customFormat="false" ht="95.5" hidden="false" customHeight="false" outlineLevel="0" collapsed="false">
      <c r="A147" s="3" t="n">
        <v>146</v>
      </c>
      <c r="B147" s="13" t="s">
        <v>323</v>
      </c>
      <c r="C147" s="13" t="s">
        <v>394</v>
      </c>
      <c r="D147" s="5" t="s">
        <v>395</v>
      </c>
      <c r="E147" s="5" t="s">
        <v>396</v>
      </c>
      <c r="F147" s="3" t="n">
        <f aca="false">IF(E147="",0,LEN(E147)-LEN(SUBSTITUTE(E147,CHAR(10),""))+1)</f>
        <v>6</v>
      </c>
      <c r="G147" s="3" t="n">
        <f aca="false">MIN(3,MAX(1,ROUNDUP(F147*0.6,0)))</f>
        <v>3</v>
      </c>
      <c r="H147" s="6" t="s">
        <v>13</v>
      </c>
      <c r="I147" s="3"/>
    </row>
    <row r="148" customFormat="false" ht="95.5" hidden="false" customHeight="false" outlineLevel="0" collapsed="false">
      <c r="A148" s="3" t="n">
        <v>147</v>
      </c>
      <c r="B148" s="13" t="s">
        <v>323</v>
      </c>
      <c r="C148" s="13" t="s">
        <v>397</v>
      </c>
      <c r="D148" s="5" t="s">
        <v>398</v>
      </c>
      <c r="E148" s="5" t="s">
        <v>399</v>
      </c>
      <c r="F148" s="3" t="n">
        <f aca="false">IF(E148="",0,LEN(E148)-LEN(SUBSTITUTE(E148,CHAR(10),""))+1)</f>
        <v>5</v>
      </c>
      <c r="G148" s="3" t="n">
        <f aca="false">MIN(3,MAX(1,ROUNDUP(F148*0.6,0)))</f>
        <v>3</v>
      </c>
      <c r="H148" s="6" t="s">
        <v>13</v>
      </c>
      <c r="I148" s="3"/>
    </row>
    <row r="149" customFormat="false" ht="111.15" hidden="false" customHeight="false" outlineLevel="0" collapsed="false">
      <c r="A149" s="3" t="n">
        <v>148</v>
      </c>
      <c r="B149" s="13" t="s">
        <v>323</v>
      </c>
      <c r="C149" s="13" t="s">
        <v>397</v>
      </c>
      <c r="D149" s="5" t="s">
        <v>400</v>
      </c>
      <c r="E149" s="5" t="s">
        <v>401</v>
      </c>
      <c r="F149" s="3" t="n">
        <f aca="false">IF(E149="",0,LEN(E149)-LEN(SUBSTITUTE(E149,CHAR(10),""))+1)</f>
        <v>7</v>
      </c>
      <c r="G149" s="3" t="n">
        <f aca="false">MIN(3,MAX(1,ROUNDUP(F149*0.6,0)))</f>
        <v>3</v>
      </c>
      <c r="H149" s="6" t="s">
        <v>13</v>
      </c>
      <c r="I149" s="3"/>
    </row>
    <row r="150" customFormat="false" ht="95.5" hidden="false" customHeight="false" outlineLevel="0" collapsed="false">
      <c r="A150" s="3" t="n">
        <v>149</v>
      </c>
      <c r="B150" s="13" t="s">
        <v>323</v>
      </c>
      <c r="C150" s="13" t="s">
        <v>397</v>
      </c>
      <c r="D150" s="5" t="s">
        <v>402</v>
      </c>
      <c r="E150" s="5" t="s">
        <v>403</v>
      </c>
      <c r="F150" s="3" t="n">
        <f aca="false">IF(E150="",0,LEN(E150)-LEN(SUBSTITUTE(E150,CHAR(10),""))+1)</f>
        <v>6</v>
      </c>
      <c r="G150" s="3" t="n">
        <f aca="false">MIN(3,MAX(1,ROUNDUP(F150*0.6,0)))</f>
        <v>3</v>
      </c>
      <c r="H150" s="6" t="s">
        <v>13</v>
      </c>
      <c r="I150" s="3"/>
    </row>
    <row r="151" customFormat="false" ht="48.5" hidden="false" customHeight="false" outlineLevel="0" collapsed="false">
      <c r="A151" s="3" t="n">
        <v>150</v>
      </c>
      <c r="B151" s="14" t="s">
        <v>404</v>
      </c>
      <c r="C151" s="14" t="s">
        <v>405</v>
      </c>
      <c r="D151" s="5" t="s">
        <v>406</v>
      </c>
      <c r="E151" s="5" t="s">
        <v>407</v>
      </c>
      <c r="F151" s="3" t="n">
        <f aca="false">IF(E151="",0,LEN(E151)-LEN(SUBSTITUTE(E151,CHAR(10),""))+1)</f>
        <v>3</v>
      </c>
      <c r="G151" s="3" t="n">
        <f aca="false">MIN(3,MAX(1,ROUNDUP(F151*0.6,0)))</f>
        <v>2</v>
      </c>
      <c r="H151" s="6" t="s">
        <v>13</v>
      </c>
      <c r="I151" s="3"/>
    </row>
    <row r="152" customFormat="false" ht="79.85" hidden="false" customHeight="false" outlineLevel="0" collapsed="false">
      <c r="A152" s="3" t="n">
        <v>151</v>
      </c>
      <c r="B152" s="14" t="s">
        <v>404</v>
      </c>
      <c r="C152" s="14" t="s">
        <v>408</v>
      </c>
      <c r="D152" s="5" t="s">
        <v>409</v>
      </c>
      <c r="E152" s="5" t="s">
        <v>410</v>
      </c>
      <c r="F152" s="3" t="n">
        <f aca="false">IF(E152="",0,LEN(E152)-LEN(SUBSTITUTE(E152,CHAR(10),""))+1)</f>
        <v>5</v>
      </c>
      <c r="G152" s="3" t="n">
        <f aca="false">MIN(3,MAX(1,ROUNDUP(F152*0.6,0)))</f>
        <v>3</v>
      </c>
      <c r="H152" s="6" t="s">
        <v>13</v>
      </c>
      <c r="I152" s="3"/>
    </row>
    <row r="153" customFormat="false" ht="64.15" hidden="false" customHeight="false" outlineLevel="0" collapsed="false">
      <c r="A153" s="3" t="n">
        <v>152</v>
      </c>
      <c r="B153" s="14" t="s">
        <v>404</v>
      </c>
      <c r="C153" s="14" t="s">
        <v>411</v>
      </c>
      <c r="D153" s="5" t="s">
        <v>412</v>
      </c>
      <c r="E153" s="5" t="s">
        <v>413</v>
      </c>
      <c r="F153" s="3" t="n">
        <f aca="false">IF(E153="",0,LEN(E153)-LEN(SUBSTITUTE(E153,CHAR(10),""))+1)</f>
        <v>3</v>
      </c>
      <c r="G153" s="3" t="n">
        <f aca="false">MIN(3,MAX(1,ROUNDUP(F153*0.6,0)))</f>
        <v>2</v>
      </c>
      <c r="H153" s="6" t="s">
        <v>13</v>
      </c>
      <c r="I153" s="3"/>
    </row>
    <row r="154" customFormat="false" ht="111.15" hidden="false" customHeight="false" outlineLevel="0" collapsed="false">
      <c r="A154" s="3" t="n">
        <v>153</v>
      </c>
      <c r="B154" s="14" t="s">
        <v>404</v>
      </c>
      <c r="C154" s="14" t="s">
        <v>411</v>
      </c>
      <c r="D154" s="5" t="s">
        <v>414</v>
      </c>
      <c r="E154" s="5" t="s">
        <v>415</v>
      </c>
      <c r="F154" s="3" t="n">
        <f aca="false">IF(E154="",0,LEN(E154)-LEN(SUBSTITUTE(E154,CHAR(10),""))+1)</f>
        <v>7</v>
      </c>
      <c r="G154" s="3" t="n">
        <f aca="false">MIN(3,MAX(1,ROUNDUP(F154*0.6,0)))</f>
        <v>3</v>
      </c>
      <c r="H154" s="6" t="s">
        <v>13</v>
      </c>
      <c r="I154" s="3"/>
    </row>
    <row r="155" customFormat="false" ht="79.85" hidden="false" customHeight="false" outlineLevel="0" collapsed="false">
      <c r="A155" s="3" t="n">
        <v>154</v>
      </c>
      <c r="B155" s="14" t="s">
        <v>404</v>
      </c>
      <c r="C155" s="15" t="s">
        <v>416</v>
      </c>
      <c r="D155" s="5" t="s">
        <v>417</v>
      </c>
      <c r="E155" s="5" t="s">
        <v>418</v>
      </c>
      <c r="F155" s="3" t="n">
        <f aca="false">IF(E155="",0,LEN(E155)-LEN(SUBSTITUTE(E155,CHAR(10),""))+1)</f>
        <v>5</v>
      </c>
      <c r="G155" s="3" t="n">
        <f aca="false">MIN(3,MAX(1,ROUNDUP(F155*0.6,0)))</f>
        <v>3</v>
      </c>
      <c r="H155" s="6" t="s">
        <v>13</v>
      </c>
      <c r="I155" s="3"/>
    </row>
    <row r="156" customFormat="false" ht="64.15" hidden="false" customHeight="false" outlineLevel="0" collapsed="false">
      <c r="A156" s="3" t="n">
        <v>155</v>
      </c>
      <c r="B156" s="14" t="s">
        <v>404</v>
      </c>
      <c r="C156" s="14" t="s">
        <v>419</v>
      </c>
      <c r="D156" s="5" t="s">
        <v>420</v>
      </c>
      <c r="E156" s="5" t="s">
        <v>421</v>
      </c>
      <c r="F156" s="3" t="n">
        <f aca="false">IF(E156="",0,LEN(E156)-LEN(SUBSTITUTE(E156,CHAR(10),""))+1)</f>
        <v>4</v>
      </c>
      <c r="G156" s="3" t="n">
        <f aca="false">MIN(3,MAX(1,ROUNDUP(F156*0.6,0)))</f>
        <v>3</v>
      </c>
      <c r="H156" s="6" t="s">
        <v>13</v>
      </c>
      <c r="I156" s="3"/>
    </row>
    <row r="157" customFormat="false" ht="79.85" hidden="false" customHeight="false" outlineLevel="0" collapsed="false">
      <c r="A157" s="3" t="n">
        <v>156</v>
      </c>
      <c r="B157" s="14" t="s">
        <v>404</v>
      </c>
      <c r="C157" s="14" t="s">
        <v>422</v>
      </c>
      <c r="D157" s="5" t="s">
        <v>423</v>
      </c>
      <c r="E157" s="5" t="s">
        <v>424</v>
      </c>
      <c r="F157" s="3" t="n">
        <f aca="false">IF(E157="",0,LEN(E157)-LEN(SUBSTITUTE(E157,CHAR(10),""))+1)</f>
        <v>5</v>
      </c>
      <c r="G157" s="3" t="n">
        <f aca="false">MIN(3,MAX(1,ROUNDUP(F157*0.6,0)))</f>
        <v>3</v>
      </c>
      <c r="H157" s="6" t="s">
        <v>13</v>
      </c>
      <c r="I157" s="3"/>
    </row>
    <row r="158" customFormat="false" ht="111.15" hidden="false" customHeight="false" outlineLevel="0" collapsed="false">
      <c r="A158" s="3" t="n">
        <v>157</v>
      </c>
      <c r="B158" s="14" t="s">
        <v>404</v>
      </c>
      <c r="C158" s="14" t="s">
        <v>425</v>
      </c>
      <c r="D158" s="5" t="s">
        <v>426</v>
      </c>
      <c r="E158" s="5" t="s">
        <v>427</v>
      </c>
      <c r="F158" s="3" t="n">
        <f aca="false">IF(E158="",0,LEN(E158)-LEN(SUBSTITUTE(E158,CHAR(10),""))+1)</f>
        <v>7</v>
      </c>
      <c r="G158" s="3" t="n">
        <f aca="false">MIN(3,MAX(1,ROUNDUP(F158*0.6,0)))</f>
        <v>3</v>
      </c>
      <c r="H158" s="6" t="s">
        <v>13</v>
      </c>
      <c r="I158" s="3"/>
    </row>
    <row r="159" customFormat="false" ht="95.5" hidden="false" customHeight="false" outlineLevel="0" collapsed="false">
      <c r="A159" s="3" t="n">
        <v>158</v>
      </c>
      <c r="B159" s="14" t="s">
        <v>404</v>
      </c>
      <c r="C159" s="14" t="s">
        <v>425</v>
      </c>
      <c r="D159" s="5" t="s">
        <v>428</v>
      </c>
      <c r="E159" s="5" t="s">
        <v>429</v>
      </c>
      <c r="F159" s="3" t="n">
        <f aca="false">IF(E159="",0,LEN(E159)-LEN(SUBSTITUTE(E159,CHAR(10),""))+1)</f>
        <v>6</v>
      </c>
      <c r="G159" s="3" t="n">
        <f aca="false">MIN(3,MAX(1,ROUNDUP(F159*0.6,0)))</f>
        <v>3</v>
      </c>
      <c r="H159" s="6" t="s">
        <v>13</v>
      </c>
      <c r="I159" s="3"/>
    </row>
    <row r="160" customFormat="false" ht="79.85" hidden="false" customHeight="false" outlineLevel="0" collapsed="false">
      <c r="A160" s="3" t="n">
        <v>159</v>
      </c>
      <c r="B160" s="14" t="s">
        <v>404</v>
      </c>
      <c r="C160" s="14" t="s">
        <v>425</v>
      </c>
      <c r="D160" s="7" t="s">
        <v>430</v>
      </c>
      <c r="E160" s="5" t="s">
        <v>431</v>
      </c>
      <c r="F160" s="3" t="n">
        <f aca="false">IF(E160="",0,LEN(E160)-LEN(SUBSTITUTE(E160,CHAR(10),""))+1)</f>
        <v>3</v>
      </c>
      <c r="G160" s="3" t="n">
        <f aca="false">MIN(3,MAX(1,ROUNDUP(F160*0.6,0)))</f>
        <v>2</v>
      </c>
      <c r="H160" s="6" t="s">
        <v>13</v>
      </c>
      <c r="I160" s="3"/>
    </row>
    <row r="161" customFormat="false" ht="79.85" hidden="false" customHeight="false" outlineLevel="0" collapsed="false">
      <c r="A161" s="3" t="n">
        <v>160</v>
      </c>
      <c r="B161" s="14" t="s">
        <v>404</v>
      </c>
      <c r="C161" s="14" t="s">
        <v>432</v>
      </c>
      <c r="D161" s="5" t="s">
        <v>433</v>
      </c>
      <c r="E161" s="5" t="s">
        <v>434</v>
      </c>
      <c r="F161" s="3" t="n">
        <f aca="false">IF(E161="",0,LEN(E161)-LEN(SUBSTITUTE(E161,CHAR(10),""))+1)</f>
        <v>5</v>
      </c>
      <c r="G161" s="3" t="n">
        <f aca="false">MIN(3,MAX(1,ROUNDUP(F161*0.6,0)))</f>
        <v>3</v>
      </c>
      <c r="H161" s="6" t="s">
        <v>13</v>
      </c>
      <c r="I161" s="3"/>
    </row>
    <row r="162" customFormat="false" ht="111.15" hidden="false" customHeight="false" outlineLevel="0" collapsed="false">
      <c r="A162" s="3" t="n">
        <v>161</v>
      </c>
      <c r="B162" s="14" t="s">
        <v>404</v>
      </c>
      <c r="C162" s="14" t="s">
        <v>435</v>
      </c>
      <c r="D162" s="5" t="s">
        <v>436</v>
      </c>
      <c r="E162" s="5" t="s">
        <v>437</v>
      </c>
      <c r="F162" s="3" t="n">
        <f aca="false">IF(E162="",0,LEN(E162)-LEN(SUBSTITUTE(E162,CHAR(10),""))+1)</f>
        <v>7</v>
      </c>
      <c r="G162" s="3" t="n">
        <f aca="false">MIN(3,MAX(1,ROUNDUP(F162*0.6,0)))</f>
        <v>3</v>
      </c>
      <c r="H162" s="6" t="s">
        <v>13</v>
      </c>
      <c r="I162" s="3"/>
    </row>
    <row r="163" customFormat="false" ht="64.15" hidden="false" customHeight="false" outlineLevel="0" collapsed="false">
      <c r="A163" s="3" t="n">
        <v>162</v>
      </c>
      <c r="B163" s="14" t="s">
        <v>404</v>
      </c>
      <c r="C163" s="14" t="s">
        <v>438</v>
      </c>
      <c r="D163" s="5" t="s">
        <v>439</v>
      </c>
      <c r="E163" s="5" t="s">
        <v>440</v>
      </c>
      <c r="F163" s="3" t="n">
        <f aca="false">IF(E163="",0,LEN(E163)-LEN(SUBSTITUTE(E163,CHAR(10),""))+1)</f>
        <v>4</v>
      </c>
      <c r="G163" s="3" t="n">
        <f aca="false">MIN(3,MAX(1,ROUNDUP(F163*0.6,0)))</f>
        <v>3</v>
      </c>
      <c r="H163" s="6" t="s">
        <v>13</v>
      </c>
      <c r="I163" s="3"/>
    </row>
    <row r="164" customFormat="false" ht="95.5" hidden="false" customHeight="false" outlineLevel="0" collapsed="false">
      <c r="A164" s="3" t="n">
        <v>163</v>
      </c>
      <c r="B164" s="14" t="s">
        <v>404</v>
      </c>
      <c r="C164" s="14" t="s">
        <v>441</v>
      </c>
      <c r="D164" s="5" t="s">
        <v>442</v>
      </c>
      <c r="E164" s="5" t="s">
        <v>443</v>
      </c>
      <c r="F164" s="3" t="n">
        <f aca="false">IF(E164="",0,LEN(E164)-LEN(SUBSTITUTE(E164,CHAR(10),""))+1)</f>
        <v>5</v>
      </c>
      <c r="G164" s="3" t="n">
        <f aca="false">MIN(3,MAX(1,ROUNDUP(F164*0.6,0)))</f>
        <v>3</v>
      </c>
      <c r="H164" s="6" t="s">
        <v>13</v>
      </c>
      <c r="I164" s="3"/>
    </row>
    <row r="165" customFormat="false" ht="64.15" hidden="false" customHeight="false" outlineLevel="0" collapsed="false">
      <c r="A165" s="3" t="n">
        <v>164</v>
      </c>
      <c r="B165" s="16" t="s">
        <v>444</v>
      </c>
      <c r="C165" s="16" t="s">
        <v>445</v>
      </c>
      <c r="D165" s="7" t="s">
        <v>446</v>
      </c>
      <c r="E165" s="5" t="s">
        <v>447</v>
      </c>
      <c r="F165" s="3" t="n">
        <f aca="false">IF(E165="",0,LEN(E165)-LEN(SUBSTITUTE(E165,CHAR(10),""))+1)</f>
        <v>4</v>
      </c>
      <c r="G165" s="3" t="n">
        <f aca="false">MIN(3,MAX(1,ROUNDUP(F165*0.6,0)))</f>
        <v>3</v>
      </c>
      <c r="H165" s="6" t="s">
        <v>13</v>
      </c>
      <c r="I165" s="3"/>
    </row>
    <row r="166" customFormat="false" ht="79.85" hidden="false" customHeight="false" outlineLevel="0" collapsed="false">
      <c r="A166" s="3" t="n">
        <v>165</v>
      </c>
      <c r="B166" s="16" t="s">
        <v>444</v>
      </c>
      <c r="C166" s="17" t="s">
        <v>448</v>
      </c>
      <c r="D166" s="5" t="s">
        <v>449</v>
      </c>
      <c r="E166" s="5" t="s">
        <v>450</v>
      </c>
      <c r="F166" s="3" t="n">
        <f aca="false">IF(E166="",0,LEN(E166)-LEN(SUBSTITUTE(E166,CHAR(10),""))+1)</f>
        <v>5</v>
      </c>
      <c r="G166" s="3" t="n">
        <f aca="false">MIN(3,MAX(1,ROUNDUP(F166*0.6,0)))</f>
        <v>3</v>
      </c>
      <c r="H166" s="6" t="s">
        <v>13</v>
      </c>
      <c r="I166" s="3"/>
    </row>
    <row r="167" customFormat="false" ht="95.5" hidden="false" customHeight="false" outlineLevel="0" collapsed="false">
      <c r="A167" s="3" t="n">
        <v>166</v>
      </c>
      <c r="B167" s="16" t="s">
        <v>444</v>
      </c>
      <c r="C167" s="17" t="s">
        <v>448</v>
      </c>
      <c r="D167" s="7" t="s">
        <v>451</v>
      </c>
      <c r="E167" s="5" t="s">
        <v>452</v>
      </c>
      <c r="F167" s="3" t="n">
        <f aca="false">IF(E167="",0,LEN(E167)-LEN(SUBSTITUTE(E167,CHAR(10),""))+1)</f>
        <v>6</v>
      </c>
      <c r="G167" s="3" t="n">
        <f aca="false">MIN(3,MAX(1,ROUNDUP(F167*0.6,0)))</f>
        <v>3</v>
      </c>
      <c r="H167" s="6" t="s">
        <v>13</v>
      </c>
      <c r="I167" s="3"/>
    </row>
    <row r="168" customFormat="false" ht="95.5" hidden="false" customHeight="false" outlineLevel="0" collapsed="false">
      <c r="A168" s="3" t="n">
        <v>167</v>
      </c>
      <c r="B168" s="16" t="s">
        <v>444</v>
      </c>
      <c r="C168" s="16" t="s">
        <v>453</v>
      </c>
      <c r="D168" s="5" t="s">
        <v>454</v>
      </c>
      <c r="E168" s="5" t="s">
        <v>455</v>
      </c>
      <c r="F168" s="3" t="n">
        <f aca="false">IF(E168="",0,LEN(E168)-LEN(SUBSTITUTE(E168,CHAR(10),""))+1)</f>
        <v>6</v>
      </c>
      <c r="G168" s="3" t="n">
        <f aca="false">MIN(3,MAX(1,ROUNDUP(F168*0.6,0)))</f>
        <v>3</v>
      </c>
      <c r="H168" s="6" t="s">
        <v>13</v>
      </c>
      <c r="I168" s="3"/>
    </row>
    <row r="169" customFormat="false" ht="111.15" hidden="false" customHeight="false" outlineLevel="0" collapsed="false">
      <c r="A169" s="3" t="n">
        <v>168</v>
      </c>
      <c r="B169" s="16" t="s">
        <v>444</v>
      </c>
      <c r="C169" s="16" t="s">
        <v>453</v>
      </c>
      <c r="D169" s="5" t="s">
        <v>456</v>
      </c>
      <c r="E169" s="5" t="s">
        <v>457</v>
      </c>
      <c r="F169" s="3" t="n">
        <f aca="false">IF(E169="",0,LEN(E169)-LEN(SUBSTITUTE(E169,CHAR(10),""))+1)</f>
        <v>7</v>
      </c>
      <c r="G169" s="3" t="n">
        <f aca="false">MIN(3,MAX(1,ROUNDUP(F169*0.6,0)))</f>
        <v>3</v>
      </c>
      <c r="H169" s="6" t="s">
        <v>13</v>
      </c>
      <c r="I169" s="3"/>
    </row>
    <row r="170" customFormat="false" ht="64.15" hidden="false" customHeight="false" outlineLevel="0" collapsed="false">
      <c r="A170" s="3" t="n">
        <v>169</v>
      </c>
      <c r="B170" s="16" t="s">
        <v>444</v>
      </c>
      <c r="C170" s="16" t="s">
        <v>453</v>
      </c>
      <c r="D170" s="5" t="s">
        <v>458</v>
      </c>
      <c r="E170" s="5" t="s">
        <v>459</v>
      </c>
      <c r="F170" s="3" t="n">
        <f aca="false">IF(E170="",0,LEN(E170)-LEN(SUBSTITUTE(E170,CHAR(10),""))+1)</f>
        <v>4</v>
      </c>
      <c r="G170" s="3" t="n">
        <f aca="false">MIN(3,MAX(1,ROUNDUP(F170*0.6,0)))</f>
        <v>3</v>
      </c>
      <c r="H170" s="6" t="s">
        <v>13</v>
      </c>
      <c r="I170" s="3"/>
    </row>
    <row r="171" customFormat="false" ht="95.5" hidden="false" customHeight="false" outlineLevel="0" collapsed="false">
      <c r="A171" s="3" t="n">
        <v>170</v>
      </c>
      <c r="B171" s="16" t="s">
        <v>444</v>
      </c>
      <c r="C171" s="16" t="s">
        <v>460</v>
      </c>
      <c r="D171" s="5" t="s">
        <v>461</v>
      </c>
      <c r="E171" s="5" t="s">
        <v>462</v>
      </c>
      <c r="F171" s="3" t="n">
        <f aca="false">IF(E171="",0,LEN(E171)-LEN(SUBSTITUTE(E171,CHAR(10),""))+1)</f>
        <v>6</v>
      </c>
      <c r="G171" s="3" t="n">
        <f aca="false">MIN(3,MAX(1,ROUNDUP(F171*0.6,0)))</f>
        <v>3</v>
      </c>
      <c r="H171" s="6" t="s">
        <v>13</v>
      </c>
      <c r="I171" s="3"/>
    </row>
    <row r="172" customFormat="false" ht="79.85" hidden="false" customHeight="false" outlineLevel="0" collapsed="false">
      <c r="A172" s="3" t="n">
        <v>171</v>
      </c>
      <c r="B172" s="16" t="s">
        <v>444</v>
      </c>
      <c r="C172" s="16" t="s">
        <v>463</v>
      </c>
      <c r="D172" s="5" t="s">
        <v>464</v>
      </c>
      <c r="E172" s="5" t="s">
        <v>465</v>
      </c>
      <c r="F172" s="3" t="n">
        <f aca="false">IF(E172="",0,LEN(E172)-LEN(SUBSTITUTE(E172,CHAR(10),""))+1)</f>
        <v>5</v>
      </c>
      <c r="G172" s="3" t="n">
        <f aca="false">MIN(3,MAX(1,ROUNDUP(F172*0.6,0)))</f>
        <v>3</v>
      </c>
      <c r="H172" s="6" t="s">
        <v>13</v>
      </c>
      <c r="I172" s="3"/>
    </row>
    <row r="173" customFormat="false" ht="79.85" hidden="false" customHeight="false" outlineLevel="0" collapsed="false">
      <c r="A173" s="3" t="n">
        <v>172</v>
      </c>
      <c r="B173" s="16" t="s">
        <v>444</v>
      </c>
      <c r="C173" s="16" t="s">
        <v>62</v>
      </c>
      <c r="D173" s="5" t="s">
        <v>466</v>
      </c>
      <c r="E173" s="5" t="s">
        <v>467</v>
      </c>
      <c r="F173" s="3" t="n">
        <f aca="false">IF(E173="",0,LEN(E173)-LEN(SUBSTITUTE(E173,CHAR(10),""))+1)</f>
        <v>5</v>
      </c>
      <c r="G173" s="3" t="n">
        <f aca="false">MIN(3,MAX(1,ROUNDUP(F173*0.6,0)))</f>
        <v>3</v>
      </c>
      <c r="H173" s="6" t="s">
        <v>13</v>
      </c>
      <c r="I173" s="3"/>
    </row>
    <row r="174" customFormat="false" ht="95.5" hidden="false" customHeight="false" outlineLevel="0" collapsed="false">
      <c r="A174" s="3" t="n">
        <v>173</v>
      </c>
      <c r="B174" s="16" t="s">
        <v>444</v>
      </c>
      <c r="C174" s="16" t="s">
        <v>468</v>
      </c>
      <c r="D174" s="5" t="s">
        <v>469</v>
      </c>
      <c r="E174" s="5" t="s">
        <v>470</v>
      </c>
      <c r="F174" s="3" t="n">
        <f aca="false">IF(E174="",0,LEN(E174)-LEN(SUBSTITUTE(E174,CHAR(10),""))+1)</f>
        <v>6</v>
      </c>
      <c r="G174" s="3" t="n">
        <f aca="false">MIN(3,MAX(1,ROUNDUP(F174*0.6,0)))</f>
        <v>3</v>
      </c>
      <c r="H174" s="6" t="s">
        <v>13</v>
      </c>
      <c r="I174" s="3"/>
    </row>
    <row r="175" customFormat="false" ht="95.5" hidden="false" customHeight="false" outlineLevel="0" collapsed="false">
      <c r="A175" s="3" t="n">
        <v>174</v>
      </c>
      <c r="B175" s="16" t="s">
        <v>444</v>
      </c>
      <c r="C175" s="16" t="s">
        <v>471</v>
      </c>
      <c r="D175" s="5" t="s">
        <v>472</v>
      </c>
      <c r="E175" s="5" t="s">
        <v>473</v>
      </c>
      <c r="F175" s="3" t="n">
        <f aca="false">IF(E175="",0,LEN(E175)-LEN(SUBSTITUTE(E175,CHAR(10),""))+1)</f>
        <v>6</v>
      </c>
      <c r="G175" s="3" t="n">
        <f aca="false">MIN(3,MAX(1,ROUNDUP(F175*0.6,0)))</f>
        <v>3</v>
      </c>
      <c r="H175" s="6" t="s">
        <v>13</v>
      </c>
      <c r="I175" s="3"/>
    </row>
    <row r="176" customFormat="false" ht="95.5" hidden="false" customHeight="false" outlineLevel="0" collapsed="false">
      <c r="A176" s="3" t="n">
        <v>175</v>
      </c>
      <c r="B176" s="16" t="s">
        <v>444</v>
      </c>
      <c r="C176" s="16" t="s">
        <v>474</v>
      </c>
      <c r="D176" s="5" t="s">
        <v>475</v>
      </c>
      <c r="E176" s="5" t="s">
        <v>476</v>
      </c>
      <c r="F176" s="3" t="n">
        <f aca="false">IF(E176="",0,LEN(E176)-LEN(SUBSTITUTE(E176,CHAR(10),""))+1)</f>
        <v>6</v>
      </c>
      <c r="G176" s="3" t="n">
        <f aca="false">MIN(3,MAX(1,ROUNDUP(F176*0.6,0)))</f>
        <v>3</v>
      </c>
      <c r="H176" s="6" t="s">
        <v>13</v>
      </c>
      <c r="I176" s="3"/>
    </row>
    <row r="177" customFormat="false" ht="79.85" hidden="false" customHeight="false" outlineLevel="0" collapsed="false">
      <c r="A177" s="3" t="n">
        <v>176</v>
      </c>
      <c r="B177" s="16" t="s">
        <v>444</v>
      </c>
      <c r="C177" s="16" t="s">
        <v>477</v>
      </c>
      <c r="D177" s="5" t="s">
        <v>478</v>
      </c>
      <c r="E177" s="5" t="s">
        <v>479</v>
      </c>
      <c r="F177" s="3" t="n">
        <f aca="false">IF(E177="",0,LEN(E177)-LEN(SUBSTITUTE(E177,CHAR(10),""))+1)</f>
        <v>5</v>
      </c>
      <c r="G177" s="3" t="n">
        <f aca="false">MIN(3,MAX(1,ROUNDUP(F177*0.6,0)))</f>
        <v>3</v>
      </c>
      <c r="H177" s="6" t="s">
        <v>13</v>
      </c>
      <c r="I177" s="3"/>
    </row>
    <row r="178" customFormat="false" ht="95.5" hidden="false" customHeight="false" outlineLevel="0" collapsed="false">
      <c r="A178" s="3" t="n">
        <v>177</v>
      </c>
      <c r="B178" s="18" t="s">
        <v>480</v>
      </c>
      <c r="C178" s="19" t="s">
        <v>481</v>
      </c>
      <c r="D178" s="7" t="s">
        <v>482</v>
      </c>
      <c r="E178" s="5" t="s">
        <v>483</v>
      </c>
      <c r="F178" s="3" t="n">
        <f aca="false">IF(E178="",0,LEN(E178)-LEN(SUBSTITUTE(E178,CHAR(10),""))+1)</f>
        <v>6</v>
      </c>
      <c r="G178" s="3" t="n">
        <f aca="false">MIN(3,MAX(1,ROUNDUP(F178*0.6,0)))</f>
        <v>3</v>
      </c>
      <c r="H178" s="6" t="s">
        <v>13</v>
      </c>
      <c r="I178" s="3"/>
    </row>
    <row r="179" customFormat="false" ht="79.85" hidden="false" customHeight="false" outlineLevel="0" collapsed="false">
      <c r="A179" s="3" t="n">
        <v>178</v>
      </c>
      <c r="B179" s="18" t="s">
        <v>480</v>
      </c>
      <c r="C179" s="18" t="s">
        <v>484</v>
      </c>
      <c r="D179" s="5" t="s">
        <v>485</v>
      </c>
      <c r="E179" s="5" t="s">
        <v>486</v>
      </c>
      <c r="F179" s="3" t="n">
        <f aca="false">IF(E179="",0,LEN(E179)-LEN(SUBSTITUTE(E179,CHAR(10),""))+1)</f>
        <v>5</v>
      </c>
      <c r="G179" s="3" t="n">
        <f aca="false">MIN(3,MAX(1,ROUNDUP(F179*0.6,0)))</f>
        <v>3</v>
      </c>
      <c r="H179" s="6" t="s">
        <v>13</v>
      </c>
      <c r="I179" s="3"/>
    </row>
    <row r="180" customFormat="false" ht="95.5" hidden="false" customHeight="false" outlineLevel="0" collapsed="false">
      <c r="A180" s="3" t="n">
        <v>179</v>
      </c>
      <c r="B180" s="18" t="s">
        <v>480</v>
      </c>
      <c r="C180" s="18" t="s">
        <v>484</v>
      </c>
      <c r="D180" s="5" t="s">
        <v>487</v>
      </c>
      <c r="E180" s="5" t="s">
        <v>488</v>
      </c>
      <c r="F180" s="3" t="n">
        <f aca="false">IF(E180="",0,LEN(E180)-LEN(SUBSTITUTE(E180,CHAR(10),""))+1)</f>
        <v>6</v>
      </c>
      <c r="G180" s="3" t="n">
        <f aca="false">MIN(3,MAX(1,ROUNDUP(F180*0.6,0)))</f>
        <v>3</v>
      </c>
      <c r="H180" s="6" t="s">
        <v>13</v>
      </c>
      <c r="I180" s="3"/>
    </row>
    <row r="181" customFormat="false" ht="111.15" hidden="false" customHeight="false" outlineLevel="0" collapsed="false">
      <c r="A181" s="3" t="n">
        <v>180</v>
      </c>
      <c r="B181" s="18" t="s">
        <v>480</v>
      </c>
      <c r="C181" s="18" t="s">
        <v>489</v>
      </c>
      <c r="D181" s="5" t="s">
        <v>490</v>
      </c>
      <c r="E181" s="5" t="s">
        <v>491</v>
      </c>
      <c r="F181" s="3" t="n">
        <f aca="false">IF(E181="",0,LEN(E181)-LEN(SUBSTITUTE(E181,CHAR(10),""))+1)</f>
        <v>7</v>
      </c>
      <c r="G181" s="3" t="n">
        <f aca="false">MIN(3,MAX(1,ROUNDUP(F181*0.6,0)))</f>
        <v>3</v>
      </c>
      <c r="H181" s="6" t="s">
        <v>13</v>
      </c>
      <c r="I181" s="3"/>
    </row>
    <row r="182" customFormat="false" ht="95.5" hidden="false" customHeight="false" outlineLevel="0" collapsed="false">
      <c r="A182" s="3" t="n">
        <v>181</v>
      </c>
      <c r="B182" s="18" t="s">
        <v>480</v>
      </c>
      <c r="C182" s="18" t="s">
        <v>492</v>
      </c>
      <c r="D182" s="5" t="s">
        <v>493</v>
      </c>
      <c r="E182" s="5" t="s">
        <v>494</v>
      </c>
      <c r="F182" s="3" t="n">
        <f aca="false">IF(E182="",0,LEN(E182)-LEN(SUBSTITUTE(E182,CHAR(10),""))+1)</f>
        <v>6</v>
      </c>
      <c r="G182" s="3" t="n">
        <f aca="false">MIN(3,MAX(1,ROUNDUP(F182*0.6,0)))</f>
        <v>3</v>
      </c>
      <c r="H182" s="6" t="s">
        <v>13</v>
      </c>
      <c r="I182" s="3"/>
    </row>
    <row r="183" customFormat="false" ht="126.85" hidden="false" customHeight="false" outlineLevel="0" collapsed="false">
      <c r="A183" s="3" t="n">
        <v>182</v>
      </c>
      <c r="B183" s="18" t="s">
        <v>480</v>
      </c>
      <c r="C183" s="18" t="s">
        <v>495</v>
      </c>
      <c r="D183" s="5" t="s">
        <v>496</v>
      </c>
      <c r="E183" s="5" t="s">
        <v>497</v>
      </c>
      <c r="F183" s="3" t="n">
        <f aca="false">IF(E183="",0,LEN(E183)-LEN(SUBSTITUTE(E183,CHAR(10),""))+1)</f>
        <v>8</v>
      </c>
      <c r="G183" s="3" t="n">
        <f aca="false">MIN(3,MAX(1,ROUNDUP(F183*0.6,0)))</f>
        <v>3</v>
      </c>
      <c r="H183" s="6" t="s">
        <v>13</v>
      </c>
      <c r="I183" s="3"/>
    </row>
    <row r="184" customFormat="false" ht="64.15" hidden="false" customHeight="false" outlineLevel="0" collapsed="false">
      <c r="A184" s="3" t="n">
        <v>183</v>
      </c>
      <c r="B184" s="18" t="s">
        <v>480</v>
      </c>
      <c r="C184" s="18" t="s">
        <v>495</v>
      </c>
      <c r="D184" s="5" t="s">
        <v>498</v>
      </c>
      <c r="E184" s="5" t="s">
        <v>499</v>
      </c>
      <c r="F184" s="3" t="n">
        <f aca="false">IF(E184="",0,LEN(E184)-LEN(SUBSTITUTE(E184,CHAR(10),""))+1)</f>
        <v>4</v>
      </c>
      <c r="G184" s="3" t="n">
        <f aca="false">MIN(3,MAX(1,ROUNDUP(F184*0.6,0)))</f>
        <v>3</v>
      </c>
      <c r="H184" s="6" t="s">
        <v>13</v>
      </c>
      <c r="I184" s="3"/>
    </row>
    <row r="185" customFormat="false" ht="95.5" hidden="false" customHeight="false" outlineLevel="0" collapsed="false">
      <c r="A185" s="3" t="n">
        <v>184</v>
      </c>
      <c r="B185" s="18" t="s">
        <v>480</v>
      </c>
      <c r="C185" s="18" t="s">
        <v>173</v>
      </c>
      <c r="D185" s="5" t="s">
        <v>500</v>
      </c>
      <c r="E185" s="5" t="s">
        <v>501</v>
      </c>
      <c r="F185" s="3" t="n">
        <f aca="false">IF(E185="",0,LEN(E185)-LEN(SUBSTITUTE(E185,CHAR(10),""))+1)</f>
        <v>6</v>
      </c>
      <c r="G185" s="3" t="n">
        <f aca="false">MIN(3,MAX(1,ROUNDUP(F185*0.6,0)))</f>
        <v>3</v>
      </c>
      <c r="H185" s="6" t="s">
        <v>13</v>
      </c>
      <c r="I185" s="3"/>
    </row>
    <row r="186" customFormat="false" ht="79.85" hidden="false" customHeight="false" outlineLevel="0" collapsed="false">
      <c r="A186" s="3" t="n">
        <v>185</v>
      </c>
      <c r="B186" s="18" t="s">
        <v>480</v>
      </c>
      <c r="C186" s="18" t="s">
        <v>42</v>
      </c>
      <c r="D186" s="5" t="s">
        <v>502</v>
      </c>
      <c r="E186" s="5" t="s">
        <v>503</v>
      </c>
      <c r="F186" s="3" t="n">
        <f aca="false">IF(E186="",0,LEN(E186)-LEN(SUBSTITUTE(E186,CHAR(10),""))+1)</f>
        <v>5</v>
      </c>
      <c r="G186" s="3" t="n">
        <f aca="false">MIN(3,MAX(1,ROUNDUP(F186*0.6,0)))</f>
        <v>3</v>
      </c>
      <c r="H186" s="6" t="s">
        <v>13</v>
      </c>
      <c r="I186" s="3"/>
    </row>
    <row r="187" customFormat="false" ht="95.5" hidden="false" customHeight="false" outlineLevel="0" collapsed="false">
      <c r="A187" s="3" t="n">
        <v>186</v>
      </c>
      <c r="B187" s="18" t="s">
        <v>480</v>
      </c>
      <c r="C187" s="19" t="s">
        <v>504</v>
      </c>
      <c r="D187" s="7" t="s">
        <v>505</v>
      </c>
      <c r="E187" s="5" t="s">
        <v>506</v>
      </c>
      <c r="F187" s="3" t="n">
        <f aca="false">IF(E187="",0,LEN(E187)-LEN(SUBSTITUTE(E187,CHAR(10),""))+1)</f>
        <v>6</v>
      </c>
      <c r="G187" s="3" t="n">
        <f aca="false">MIN(3,MAX(1,ROUNDUP(F187*0.6,0)))</f>
        <v>3</v>
      </c>
      <c r="H187" s="6" t="s">
        <v>13</v>
      </c>
      <c r="I187" s="3"/>
    </row>
    <row r="188" customFormat="false" ht="79.85" hidden="false" customHeight="false" outlineLevel="0" collapsed="false">
      <c r="A188" s="3" t="n">
        <v>187</v>
      </c>
      <c r="B188" s="18" t="s">
        <v>480</v>
      </c>
      <c r="C188" s="18" t="s">
        <v>507</v>
      </c>
      <c r="D188" s="7" t="s">
        <v>508</v>
      </c>
      <c r="E188" s="5" t="s">
        <v>509</v>
      </c>
      <c r="F188" s="3" t="n">
        <f aca="false">IF(E188="",0,LEN(E188)-LEN(SUBSTITUTE(E188,CHAR(10),""))+1)</f>
        <v>5</v>
      </c>
      <c r="G188" s="3" t="n">
        <f aca="false">MIN(3,MAX(1,ROUNDUP(F188*0.6,0)))</f>
        <v>3</v>
      </c>
      <c r="H188" s="6" t="s">
        <v>13</v>
      </c>
      <c r="I188" s="3"/>
    </row>
    <row r="189" customFormat="false" ht="79.85" hidden="false" customHeight="false" outlineLevel="0" collapsed="false">
      <c r="A189" s="3" t="n">
        <v>188</v>
      </c>
      <c r="B189" s="18" t="s">
        <v>480</v>
      </c>
      <c r="C189" s="18" t="s">
        <v>510</v>
      </c>
      <c r="D189" s="5" t="s">
        <v>511</v>
      </c>
      <c r="E189" s="5" t="s">
        <v>512</v>
      </c>
      <c r="F189" s="3" t="n">
        <f aca="false">IF(E189="",0,LEN(E189)-LEN(SUBSTITUTE(E189,CHAR(10),""))+1)</f>
        <v>5</v>
      </c>
      <c r="G189" s="3" t="n">
        <f aca="false">MIN(3,MAX(1,ROUNDUP(F189*0.6,0)))</f>
        <v>3</v>
      </c>
      <c r="H189" s="6" t="s">
        <v>13</v>
      </c>
      <c r="I189" s="3"/>
    </row>
    <row r="190" customFormat="false" ht="126.85" hidden="false" customHeight="false" outlineLevel="0" collapsed="false">
      <c r="A190" s="3" t="n">
        <v>189</v>
      </c>
      <c r="B190" s="18" t="s">
        <v>480</v>
      </c>
      <c r="C190" s="18" t="s">
        <v>513</v>
      </c>
      <c r="D190" s="5" t="s">
        <v>514</v>
      </c>
      <c r="E190" s="5" t="s">
        <v>515</v>
      </c>
      <c r="F190" s="3" t="n">
        <f aca="false">IF(E190="",0,LEN(E190)-LEN(SUBSTITUTE(E190,CHAR(10),""))+1)</f>
        <v>8</v>
      </c>
      <c r="G190" s="3" t="n">
        <f aca="false">MIN(3,MAX(1,ROUNDUP(F190*0.6,0)))</f>
        <v>3</v>
      </c>
      <c r="H190" s="6" t="s">
        <v>13</v>
      </c>
      <c r="I190" s="3"/>
    </row>
    <row r="191" customFormat="false" ht="79.85" hidden="false" customHeight="false" outlineLevel="0" collapsed="false">
      <c r="A191" s="3" t="n">
        <v>190</v>
      </c>
      <c r="B191" s="18" t="s">
        <v>480</v>
      </c>
      <c r="C191" s="18" t="s">
        <v>445</v>
      </c>
      <c r="D191" s="7" t="s">
        <v>516</v>
      </c>
      <c r="E191" s="5" t="s">
        <v>517</v>
      </c>
      <c r="F191" s="3" t="n">
        <f aca="false">IF(E191="",0,LEN(E191)-LEN(SUBSTITUTE(E191,CHAR(10),""))+1)</f>
        <v>4</v>
      </c>
      <c r="G191" s="3" t="n">
        <f aca="false">MIN(3,MAX(1,ROUNDUP(F191*0.6,0)))</f>
        <v>3</v>
      </c>
      <c r="H191" s="6" t="s">
        <v>13</v>
      </c>
      <c r="I191" s="3"/>
    </row>
    <row r="192" customFormat="false" ht="79.85" hidden="false" customHeight="false" outlineLevel="0" collapsed="false">
      <c r="A192" s="3" t="n">
        <v>191</v>
      </c>
      <c r="B192" s="18" t="s">
        <v>480</v>
      </c>
      <c r="C192" s="18" t="s">
        <v>518</v>
      </c>
      <c r="D192" s="5" t="s">
        <v>519</v>
      </c>
      <c r="E192" s="5" t="s">
        <v>520</v>
      </c>
      <c r="F192" s="3" t="n">
        <f aca="false">IF(E192="",0,LEN(E192)-LEN(SUBSTITUTE(E192,CHAR(10),""))+1)</f>
        <v>5</v>
      </c>
      <c r="G192" s="3" t="n">
        <f aca="false">MIN(3,MAX(1,ROUNDUP(F192*0.6,0)))</f>
        <v>3</v>
      </c>
      <c r="H192" s="6" t="s">
        <v>13</v>
      </c>
      <c r="I192" s="3"/>
    </row>
    <row r="193" customFormat="false" ht="79.85" hidden="false" customHeight="false" outlineLevel="0" collapsed="false">
      <c r="A193" s="3" t="n">
        <v>192</v>
      </c>
      <c r="B193" s="20" t="s">
        <v>521</v>
      </c>
      <c r="C193" s="20" t="s">
        <v>522</v>
      </c>
      <c r="D193" s="5" t="s">
        <v>523</v>
      </c>
      <c r="E193" s="5" t="s">
        <v>524</v>
      </c>
      <c r="F193" s="3" t="n">
        <f aca="false">IF(E193="",0,LEN(E193)-LEN(SUBSTITUTE(E193,CHAR(10),""))+1)</f>
        <v>5</v>
      </c>
      <c r="G193" s="3" t="n">
        <f aca="false">MIN(3,MAX(1,ROUNDUP(F193*0.6,0)))</f>
        <v>3</v>
      </c>
      <c r="H193" s="6" t="s">
        <v>13</v>
      </c>
      <c r="I193" s="3"/>
    </row>
    <row r="194" customFormat="false" ht="111.15" hidden="false" customHeight="false" outlineLevel="0" collapsed="false">
      <c r="A194" s="3" t="n">
        <v>193</v>
      </c>
      <c r="B194" s="20" t="s">
        <v>521</v>
      </c>
      <c r="C194" s="20" t="s">
        <v>50</v>
      </c>
      <c r="D194" s="5" t="s">
        <v>525</v>
      </c>
      <c r="E194" s="5" t="s">
        <v>526</v>
      </c>
      <c r="F194" s="3" t="n">
        <f aca="false">IF(E194="",0,LEN(E194)-LEN(SUBSTITUTE(E194,CHAR(10),""))+1)</f>
        <v>7</v>
      </c>
      <c r="G194" s="3" t="n">
        <f aca="false">MIN(3,MAX(1,ROUNDUP(F194*0.6,0)))</f>
        <v>3</v>
      </c>
      <c r="H194" s="6" t="s">
        <v>13</v>
      </c>
      <c r="I194" s="3"/>
    </row>
    <row r="195" customFormat="false" ht="79.85" hidden="false" customHeight="false" outlineLevel="0" collapsed="false">
      <c r="A195" s="3" t="n">
        <v>194</v>
      </c>
      <c r="B195" s="20" t="s">
        <v>521</v>
      </c>
      <c r="C195" s="20" t="s">
        <v>50</v>
      </c>
      <c r="D195" s="5" t="s">
        <v>527</v>
      </c>
      <c r="E195" s="5" t="s">
        <v>528</v>
      </c>
      <c r="F195" s="3" t="n">
        <f aca="false">IF(E195="",0,LEN(E195)-LEN(SUBSTITUTE(E195,CHAR(10),""))+1)</f>
        <v>5</v>
      </c>
      <c r="G195" s="3" t="n">
        <f aca="false">MIN(3,MAX(1,ROUNDUP(F195*0.6,0)))</f>
        <v>3</v>
      </c>
      <c r="H195" s="6" t="s">
        <v>13</v>
      </c>
      <c r="I195" s="3"/>
    </row>
    <row r="196" customFormat="false" ht="111.15" hidden="false" customHeight="false" outlineLevel="0" collapsed="false">
      <c r="A196" s="3" t="n">
        <v>195</v>
      </c>
      <c r="B196" s="20" t="s">
        <v>521</v>
      </c>
      <c r="C196" s="20" t="s">
        <v>62</v>
      </c>
      <c r="D196" s="5" t="s">
        <v>529</v>
      </c>
      <c r="E196" s="5" t="s">
        <v>530</v>
      </c>
      <c r="F196" s="3" t="n">
        <f aca="false">IF(E196="",0,LEN(E196)-LEN(SUBSTITUTE(E196,CHAR(10),""))+1)</f>
        <v>6</v>
      </c>
      <c r="G196" s="3" t="n">
        <f aca="false">MIN(3,MAX(1,ROUNDUP(F196*0.6,0)))</f>
        <v>3</v>
      </c>
      <c r="H196" s="6" t="s">
        <v>13</v>
      </c>
      <c r="I196" s="3"/>
    </row>
    <row r="197" customFormat="false" ht="79.85" hidden="false" customHeight="false" outlineLevel="0" collapsed="false">
      <c r="A197" s="3" t="n">
        <v>196</v>
      </c>
      <c r="B197" s="20" t="s">
        <v>521</v>
      </c>
      <c r="C197" s="20" t="s">
        <v>37</v>
      </c>
      <c r="D197" s="5" t="s">
        <v>531</v>
      </c>
      <c r="E197" s="5" t="s">
        <v>532</v>
      </c>
      <c r="F197" s="3" t="n">
        <f aca="false">IF(E197="",0,LEN(E197)-LEN(SUBSTITUTE(E197,CHAR(10),""))+1)</f>
        <v>5</v>
      </c>
      <c r="G197" s="3" t="n">
        <f aca="false">MIN(3,MAX(1,ROUNDUP(F197*0.6,0)))</f>
        <v>3</v>
      </c>
      <c r="H197" s="6" t="s">
        <v>13</v>
      </c>
      <c r="I197" s="3"/>
    </row>
    <row r="198" customFormat="false" ht="79.85" hidden="false" customHeight="false" outlineLevel="0" collapsed="false">
      <c r="A198" s="3" t="n">
        <v>197</v>
      </c>
      <c r="B198" s="20" t="s">
        <v>521</v>
      </c>
      <c r="C198" s="20" t="s">
        <v>25</v>
      </c>
      <c r="D198" s="5" t="s">
        <v>533</v>
      </c>
      <c r="E198" s="5" t="s">
        <v>534</v>
      </c>
      <c r="F198" s="3" t="n">
        <f aca="false">IF(E198="",0,LEN(E198)-LEN(SUBSTITUTE(E198,CHAR(10),""))+1)</f>
        <v>5</v>
      </c>
      <c r="G198" s="3" t="n">
        <f aca="false">MIN(3,MAX(1,ROUNDUP(F198*0.6,0)))</f>
        <v>3</v>
      </c>
      <c r="H198" s="6" t="s">
        <v>13</v>
      </c>
      <c r="I198" s="3"/>
    </row>
    <row r="199" customFormat="false" ht="95.5" hidden="false" customHeight="false" outlineLevel="0" collapsed="false">
      <c r="A199" s="3" t="n">
        <v>198</v>
      </c>
      <c r="B199" s="20" t="s">
        <v>521</v>
      </c>
      <c r="C199" s="20" t="s">
        <v>535</v>
      </c>
      <c r="D199" s="5" t="s">
        <v>536</v>
      </c>
      <c r="E199" s="5" t="s">
        <v>537</v>
      </c>
      <c r="F199" s="3" t="n">
        <f aca="false">IF(E199="",0,LEN(E199)-LEN(SUBSTITUTE(E199,CHAR(10),""))+1)</f>
        <v>6</v>
      </c>
      <c r="G199" s="3" t="n">
        <f aca="false">MIN(3,MAX(1,ROUNDUP(F199*0.6,0)))</f>
        <v>3</v>
      </c>
      <c r="H199" s="6" t="s">
        <v>13</v>
      </c>
      <c r="I199" s="3"/>
    </row>
    <row r="200" customFormat="false" ht="95.5" hidden="false" customHeight="false" outlineLevel="0" collapsed="false">
      <c r="A200" s="3" t="n">
        <v>199</v>
      </c>
      <c r="B200" s="20" t="s">
        <v>521</v>
      </c>
      <c r="C200" s="20" t="s">
        <v>538</v>
      </c>
      <c r="D200" s="5" t="s">
        <v>539</v>
      </c>
      <c r="E200" s="5" t="s">
        <v>540</v>
      </c>
      <c r="F200" s="3" t="n">
        <f aca="false">IF(E200="",0,LEN(E200)-LEN(SUBSTITUTE(E200,CHAR(10),""))+1)</f>
        <v>6</v>
      </c>
      <c r="G200" s="3" t="n">
        <f aca="false">MIN(3,MAX(1,ROUNDUP(F200*0.6,0)))</f>
        <v>3</v>
      </c>
      <c r="H200" s="6" t="s">
        <v>13</v>
      </c>
      <c r="I200" s="3"/>
    </row>
    <row r="201" customFormat="false" ht="79.85" hidden="false" customHeight="false" outlineLevel="0" collapsed="false">
      <c r="A201" s="3" t="n">
        <v>200</v>
      </c>
      <c r="B201" s="20" t="s">
        <v>521</v>
      </c>
      <c r="C201" s="20" t="s">
        <v>56</v>
      </c>
      <c r="D201" s="5" t="s">
        <v>541</v>
      </c>
      <c r="E201" s="5" t="s">
        <v>542</v>
      </c>
      <c r="F201" s="3" t="n">
        <f aca="false">IF(E201="",0,LEN(E201)-LEN(SUBSTITUTE(E201,CHAR(10),""))+1)</f>
        <v>5</v>
      </c>
      <c r="G201" s="3" t="n">
        <f aca="false">MIN(3,MAX(1,ROUNDUP(F201*0.6,0)))</f>
        <v>3</v>
      </c>
      <c r="H201" s="6" t="s">
        <v>13</v>
      </c>
      <c r="I201" s="3"/>
    </row>
    <row r="202" customFormat="false" ht="111.15" hidden="false" customHeight="false" outlineLevel="0" collapsed="false">
      <c r="A202" s="3" t="n">
        <v>201</v>
      </c>
      <c r="B202" s="20" t="s">
        <v>521</v>
      </c>
      <c r="C202" s="20" t="s">
        <v>205</v>
      </c>
      <c r="D202" s="5" t="s">
        <v>543</v>
      </c>
      <c r="E202" s="5" t="s">
        <v>544</v>
      </c>
      <c r="F202" s="3" t="n">
        <f aca="false">IF(E202="",0,LEN(E202)-LEN(SUBSTITUTE(E202,CHAR(10),""))+1)</f>
        <v>7</v>
      </c>
      <c r="G202" s="3" t="n">
        <f aca="false">MIN(3,MAX(1,ROUNDUP(F202*0.6,0)))</f>
        <v>3</v>
      </c>
      <c r="H202" s="6" t="s">
        <v>13</v>
      </c>
      <c r="I202" s="3"/>
    </row>
    <row r="203" customFormat="false" ht="79.85" hidden="false" customHeight="false" outlineLevel="0" collapsed="false">
      <c r="A203" s="3" t="n">
        <v>202</v>
      </c>
      <c r="B203" s="20" t="s">
        <v>521</v>
      </c>
      <c r="C203" s="20" t="s">
        <v>205</v>
      </c>
      <c r="D203" s="5" t="s">
        <v>545</v>
      </c>
      <c r="E203" s="5" t="s">
        <v>546</v>
      </c>
      <c r="F203" s="3" t="n">
        <f aca="false">IF(E203="",0,LEN(E203)-LEN(SUBSTITUTE(E203,CHAR(10),""))+1)</f>
        <v>5</v>
      </c>
      <c r="G203" s="3" t="n">
        <f aca="false">MIN(3,MAX(1,ROUNDUP(F203*0.6,0)))</f>
        <v>3</v>
      </c>
      <c r="H203" s="6" t="s">
        <v>13</v>
      </c>
      <c r="I203" s="3"/>
    </row>
    <row r="204" customFormat="false" ht="79.85" hidden="false" customHeight="false" outlineLevel="0" collapsed="false">
      <c r="A204" s="3" t="n">
        <v>203</v>
      </c>
      <c r="B204" s="20" t="s">
        <v>521</v>
      </c>
      <c r="C204" s="20" t="s">
        <v>547</v>
      </c>
      <c r="D204" s="5" t="s">
        <v>548</v>
      </c>
      <c r="E204" s="5" t="s">
        <v>549</v>
      </c>
      <c r="F204" s="3" t="n">
        <f aca="false">IF(E204="",0,LEN(E204)-LEN(SUBSTITUTE(E204,CHAR(10),""))+1)</f>
        <v>5</v>
      </c>
      <c r="G204" s="3" t="n">
        <f aca="false">MIN(3,MAX(1,ROUNDUP(F204*0.6,0)))</f>
        <v>3</v>
      </c>
      <c r="H204" s="6" t="s">
        <v>13</v>
      </c>
      <c r="I204" s="3"/>
    </row>
    <row r="205" customFormat="false" ht="79.85" hidden="false" customHeight="false" outlineLevel="0" collapsed="false">
      <c r="A205" s="3" t="n">
        <v>204</v>
      </c>
      <c r="B205" s="20" t="s">
        <v>521</v>
      </c>
      <c r="C205" s="20" t="s">
        <v>42</v>
      </c>
      <c r="D205" s="5" t="s">
        <v>550</v>
      </c>
      <c r="E205" s="5" t="s">
        <v>551</v>
      </c>
      <c r="F205" s="3" t="n">
        <f aca="false">IF(E205="",0,LEN(E205)-LEN(SUBSTITUTE(E205,CHAR(10),""))+1)</f>
        <v>5</v>
      </c>
      <c r="G205" s="3" t="n">
        <f aca="false">MIN(3,MAX(1,ROUNDUP(F205*0.6,0)))</f>
        <v>3</v>
      </c>
      <c r="H205" s="6" t="s">
        <v>13</v>
      </c>
      <c r="I205" s="3"/>
    </row>
    <row r="206" customFormat="false" ht="95.5" hidden="false" customHeight="false" outlineLevel="0" collapsed="false">
      <c r="A206" s="3" t="n">
        <v>205</v>
      </c>
      <c r="B206" s="20" t="s">
        <v>521</v>
      </c>
      <c r="C206" s="20" t="s">
        <v>552</v>
      </c>
      <c r="D206" s="5" t="s">
        <v>553</v>
      </c>
      <c r="E206" s="5" t="s">
        <v>554</v>
      </c>
      <c r="F206" s="3" t="n">
        <f aca="false">IF(E206="",0,LEN(E206)-LEN(SUBSTITUTE(E206,CHAR(10),""))+1)</f>
        <v>6</v>
      </c>
      <c r="G206" s="3" t="n">
        <f aca="false">MIN(3,MAX(1,ROUNDUP(F206*0.6,0)))</f>
        <v>3</v>
      </c>
      <c r="H206" s="6" t="s">
        <v>13</v>
      </c>
      <c r="I206" s="3"/>
    </row>
    <row r="207" customFormat="false" ht="95.5" hidden="false" customHeight="false" outlineLevel="0" collapsed="false">
      <c r="A207" s="3" t="n">
        <v>206</v>
      </c>
      <c r="B207" s="20" t="s">
        <v>521</v>
      </c>
      <c r="C207" s="20" t="s">
        <v>397</v>
      </c>
      <c r="D207" s="5" t="s">
        <v>555</v>
      </c>
      <c r="E207" s="5" t="s">
        <v>556</v>
      </c>
      <c r="F207" s="3" t="n">
        <f aca="false">IF(E207="",0,LEN(E207)-LEN(SUBSTITUTE(E207,CHAR(10),""))+1)</f>
        <v>6</v>
      </c>
      <c r="G207" s="3" t="n">
        <f aca="false">MIN(3,MAX(1,ROUNDUP(F207*0.6,0)))</f>
        <v>3</v>
      </c>
      <c r="H207" s="6" t="s">
        <v>13</v>
      </c>
      <c r="I207" s="3"/>
    </row>
  </sheetData>
  <autoFilter ref="A1:I2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8"/>
    <col collapsed="false" customWidth="true" hidden="false" outlineLevel="0" max="5" min="5" style="0" width="46"/>
    <col collapsed="false" customWidth="true" hidden="false" outlineLevel="0" max="6" min="6" style="0" width="6"/>
  </cols>
  <sheetData>
    <row r="1" customFormat="false" ht="15" hidden="false" customHeight="false" outlineLevel="0" collapsed="false">
      <c r="A1" s="21" t="s">
        <v>0</v>
      </c>
      <c r="B1" s="22" t="s">
        <v>557</v>
      </c>
      <c r="C1" s="22" t="s">
        <v>3</v>
      </c>
      <c r="D1" s="22" t="s">
        <v>558</v>
      </c>
      <c r="E1" s="22" t="s">
        <v>559</v>
      </c>
      <c r="F1" s="22" t="s">
        <v>560</v>
      </c>
    </row>
    <row r="2" customFormat="false" ht="33.75" hidden="false" customHeight="true" outlineLevel="0" collapsed="false">
      <c r="A2" s="23" t="n">
        <f aca="false">問題一覧!A2</f>
        <v>1</v>
      </c>
      <c r="B2" s="23" t="str">
        <f aca="false">問題一覧!B2</f>
        <v>術中維持の基本</v>
      </c>
      <c r="C2" s="7" t="str">
        <f aca="false">問題一覧!D2</f>
        <v>全身麻酔の維持で満たすべき3要素は。</v>
      </c>
      <c r="D2" s="23" t="str">
        <f aca="false">問題一覧!G2&amp;"個"</f>
        <v>3個</v>
      </c>
      <c r="E2" s="7"/>
      <c r="F2" s="23"/>
    </row>
    <row r="3" customFormat="false" ht="33.75" hidden="false" customHeight="true" outlineLevel="0" collapsed="false">
      <c r="A3" s="23" t="n">
        <f aca="false">問題一覧!A3</f>
        <v>2</v>
      </c>
      <c r="B3" s="23" t="str">
        <f aca="false">問題一覧!B3</f>
        <v>術中維持の基本</v>
      </c>
      <c r="C3" s="7" t="str">
        <f aca="false">問題一覧!D3</f>
        <v>全身麻酔中の必須モニタを挙げよ。</v>
      </c>
      <c r="D3" s="23" t="str">
        <f aca="false">問題一覧!G3&amp;"個"</f>
        <v>3個</v>
      </c>
      <c r="E3" s="7"/>
      <c r="F3" s="23"/>
    </row>
    <row r="4" customFormat="false" ht="33.75" hidden="false" customHeight="true" outlineLevel="0" collapsed="false">
      <c r="A4" s="23" t="n">
        <f aca="false">問題一覧!A4</f>
        <v>3</v>
      </c>
      <c r="B4" s="23" t="str">
        <f aca="false">問題一覧!B4</f>
        <v>術中維持の基本</v>
      </c>
      <c r="C4" s="7" t="str">
        <f aca="false">問題一覧!D4</f>
        <v>麻酔が浅いことを示唆する所見は。</v>
      </c>
      <c r="D4" s="23" t="str">
        <f aca="false">問題一覧!G4&amp;"個"</f>
        <v>3個</v>
      </c>
      <c r="E4" s="7"/>
      <c r="F4" s="23"/>
    </row>
    <row r="5" customFormat="false" ht="33.75" hidden="false" customHeight="true" outlineLevel="0" collapsed="false">
      <c r="A5" s="23" t="n">
        <f aca="false">問題一覧!A5</f>
        <v>4</v>
      </c>
      <c r="B5" s="23" t="str">
        <f aca="false">問題一覧!B5</f>
        <v>術中維持の基本</v>
      </c>
      <c r="C5" s="7" t="str">
        <f aca="false">問題一覧!D5</f>
        <v>MAC 1.0とは何か。代表的な薬の値は。</v>
      </c>
      <c r="D5" s="23" t="str">
        <f aca="false">問題一覧!G5&amp;"個"</f>
        <v>3個</v>
      </c>
      <c r="E5" s="7"/>
      <c r="F5" s="23"/>
    </row>
    <row r="6" customFormat="false" ht="33.75" hidden="false" customHeight="true" outlineLevel="0" collapsed="false">
      <c r="A6" s="23" t="n">
        <f aca="false">問題一覧!A6</f>
        <v>5</v>
      </c>
      <c r="B6" s="23" t="str">
        <f aca="false">問題一覧!B6</f>
        <v>術中維持の基本</v>
      </c>
      <c r="C6" s="7" t="str">
        <f aca="false">問題一覧!D6</f>
        <v>MACを低下させる因子を挙げよ。</v>
      </c>
      <c r="D6" s="23" t="str">
        <f aca="false">問題一覧!G6&amp;"個"</f>
        <v>3個</v>
      </c>
      <c r="E6" s="7"/>
      <c r="F6" s="23"/>
    </row>
    <row r="7" customFormat="false" ht="33.75" hidden="false" customHeight="true" outlineLevel="0" collapsed="false">
      <c r="A7" s="23" t="n">
        <f aca="false">問題一覧!A7</f>
        <v>6</v>
      </c>
      <c r="B7" s="23" t="str">
        <f aca="false">問題一覧!B7</f>
        <v>術中維持の基本</v>
      </c>
      <c r="C7" s="7" t="str">
        <f aca="false">問題一覧!D7</f>
        <v>術中に血圧が低下した。初期対応と鑑別は。</v>
      </c>
      <c r="D7" s="23" t="str">
        <f aca="false">問題一覧!G7&amp;"個"</f>
        <v>3個</v>
      </c>
      <c r="E7" s="7"/>
      <c r="F7" s="23"/>
    </row>
    <row r="8" customFormat="false" ht="33.75" hidden="false" customHeight="true" outlineLevel="0" collapsed="false">
      <c r="A8" s="23" t="n">
        <f aca="false">問題一覧!A8</f>
        <v>7</v>
      </c>
      <c r="B8" s="23" t="str">
        <f aca="false">問題一覧!B8</f>
        <v>術中維持の基本</v>
      </c>
      <c r="C8" s="7" t="str">
        <f aca="false">問題一覧!D8</f>
        <v>術中の頻脈の鑑別を挙げよ。</v>
      </c>
      <c r="D8" s="23" t="str">
        <f aca="false">問題一覧!G8&amp;"個"</f>
        <v>3個</v>
      </c>
      <c r="E8" s="7"/>
      <c r="F8" s="23"/>
    </row>
    <row r="9" customFormat="false" ht="33.75" hidden="false" customHeight="true" outlineLevel="0" collapsed="false">
      <c r="A9" s="23" t="n">
        <f aca="false">問題一覧!A9</f>
        <v>8</v>
      </c>
      <c r="B9" s="23" t="str">
        <f aca="false">問題一覧!B9</f>
        <v>術中維持の基本</v>
      </c>
      <c r="C9" s="7" t="str">
        <f aca="false">問題一覧!D9</f>
        <v>術中の徐脈の原因と対応は。</v>
      </c>
      <c r="D9" s="23" t="str">
        <f aca="false">問題一覧!G9&amp;"個"</f>
        <v>3個</v>
      </c>
      <c r="E9" s="7"/>
      <c r="F9" s="23"/>
    </row>
    <row r="10" customFormat="false" ht="33.75" hidden="false" customHeight="true" outlineLevel="0" collapsed="false">
      <c r="A10" s="23" t="n">
        <f aca="false">問題一覧!A10</f>
        <v>9</v>
      </c>
      <c r="B10" s="23" t="str">
        <f aca="false">問題一覧!B10</f>
        <v>術中維持の基本</v>
      </c>
      <c r="C10" s="7" t="str">
        <f aca="false">問題一覧!D10</f>
        <v>術中にEtCO2が上昇した。対応は。</v>
      </c>
      <c r="D10" s="23" t="str">
        <f aca="false">問題一覧!G10&amp;"個"</f>
        <v>3個</v>
      </c>
      <c r="E10" s="7"/>
      <c r="F10" s="23"/>
    </row>
    <row r="11" customFormat="false" ht="33.75" hidden="false" customHeight="true" outlineLevel="0" collapsed="false">
      <c r="A11" s="23" t="n">
        <f aca="false">問題一覧!A11</f>
        <v>10</v>
      </c>
      <c r="B11" s="23" t="str">
        <f aca="false">問題一覧!B11</f>
        <v>術中維持の基本</v>
      </c>
      <c r="C11" s="7" t="str">
        <f aca="false">問題一覧!D11</f>
        <v>術中にEtCO2が急に低下した。鑑別は。</v>
      </c>
      <c r="D11" s="23" t="str">
        <f aca="false">問題一覧!G11&amp;"個"</f>
        <v>3個</v>
      </c>
      <c r="E11" s="7"/>
      <c r="F11" s="23"/>
    </row>
    <row r="12" customFormat="false" ht="33.75" hidden="false" customHeight="true" outlineLevel="0" collapsed="false">
      <c r="A12" s="23" t="n">
        <f aca="false">問題一覧!A12</f>
        <v>11</v>
      </c>
      <c r="B12" s="23" t="str">
        <f aca="false">問題一覧!B12</f>
        <v>術中維持の基本</v>
      </c>
      <c r="C12" s="7" t="str">
        <f aca="false">問題一覧!D12</f>
        <v>術中輸液の基本的な考え方は。</v>
      </c>
      <c r="D12" s="23" t="str">
        <f aca="false">問題一覧!G12&amp;"個"</f>
        <v>3個</v>
      </c>
      <c r="E12" s="7"/>
      <c r="F12" s="23"/>
    </row>
    <row r="13" customFormat="false" ht="33.75" hidden="false" customHeight="true" outlineLevel="0" collapsed="false">
      <c r="A13" s="23" t="n">
        <f aca="false">問題一覧!A13</f>
        <v>12</v>
      </c>
      <c r="B13" s="23" t="str">
        <f aca="false">問題一覧!B13</f>
        <v>術中維持の基本</v>
      </c>
      <c r="C13" s="7" t="str">
        <f aca="false">問題一覧!D13</f>
        <v>術中の尿量が少ないときに考えることは。</v>
      </c>
      <c r="D13" s="23" t="str">
        <f aca="false">問題一覧!G13&amp;"個"</f>
        <v>3個</v>
      </c>
      <c r="E13" s="7"/>
      <c r="F13" s="23"/>
    </row>
    <row r="14" customFormat="false" ht="33.75" hidden="false" customHeight="true" outlineLevel="0" collapsed="false">
      <c r="A14" s="23" t="n">
        <f aca="false">問題一覧!A14</f>
        <v>13</v>
      </c>
      <c r="B14" s="23" t="str">
        <f aca="false">問題一覧!B14</f>
        <v>術中維持の基本</v>
      </c>
      <c r="C14" s="7" t="str">
        <f aca="false">問題一覧!D14</f>
        <v>術中低体温を防ぐ方法は。</v>
      </c>
      <c r="D14" s="23" t="str">
        <f aca="false">問題一覧!G14&amp;"個"</f>
        <v>3個</v>
      </c>
      <c r="E14" s="7"/>
      <c r="F14" s="23"/>
    </row>
    <row r="15" customFormat="false" ht="33.75" hidden="false" customHeight="true" outlineLevel="0" collapsed="false">
      <c r="A15" s="23" t="n">
        <f aca="false">問題一覧!A15</f>
        <v>14</v>
      </c>
      <c r="B15" s="23" t="str">
        <f aca="false">問題一覧!B15</f>
        <v>術中維持の基本</v>
      </c>
      <c r="C15" s="7" t="str">
        <f aca="false">問題一覧!D15</f>
        <v>術中低体温による弊害は。</v>
      </c>
      <c r="D15" s="23" t="str">
        <f aca="false">問題一覧!G15&amp;"個"</f>
        <v>3個</v>
      </c>
      <c r="E15" s="7"/>
      <c r="F15" s="23"/>
    </row>
    <row r="16" customFormat="false" ht="33.75" hidden="false" customHeight="true" outlineLevel="0" collapsed="false">
      <c r="A16" s="23" t="n">
        <f aca="false">問題一覧!A16</f>
        <v>15</v>
      </c>
      <c r="B16" s="23" t="str">
        <f aca="false">問題一覧!B16</f>
        <v>術中維持の基本</v>
      </c>
      <c r="C16" s="7" t="str">
        <f aca="false">問題一覧!D16</f>
        <v>大量出血時の輸血の目安は。</v>
      </c>
      <c r="D16" s="23" t="str">
        <f aca="false">問題一覧!G16&amp;"個"</f>
        <v>3個</v>
      </c>
      <c r="E16" s="7"/>
      <c r="F16" s="23"/>
    </row>
    <row r="17" customFormat="false" ht="33.75" hidden="false" customHeight="true" outlineLevel="0" collapsed="false">
      <c r="A17" s="23" t="n">
        <f aca="false">問題一覧!A17</f>
        <v>16</v>
      </c>
      <c r="B17" s="23" t="str">
        <f aca="false">問題一覧!B17</f>
        <v>術中維持の基本</v>
      </c>
      <c r="C17" s="7" t="str">
        <f aca="false">問題一覧!D17</f>
        <v>気管挿管の直後に確認することは。</v>
      </c>
      <c r="D17" s="23" t="str">
        <f aca="false">問題一覧!G17&amp;"個"</f>
        <v>3個</v>
      </c>
      <c r="E17" s="7"/>
      <c r="F17" s="23"/>
    </row>
    <row r="18" customFormat="false" ht="33.75" hidden="false" customHeight="true" outlineLevel="0" collapsed="false">
      <c r="A18" s="23" t="n">
        <f aca="false">問題一覧!A18</f>
        <v>17</v>
      </c>
      <c r="B18" s="23" t="str">
        <f aca="false">問題一覧!B18</f>
        <v>術中維持の基本</v>
      </c>
      <c r="C18" s="7" t="str">
        <f aca="false">問題一覧!D18</f>
        <v>体位変換の直後に確認することは。</v>
      </c>
      <c r="D18" s="23" t="str">
        <f aca="false">問題一覧!G18&amp;"個"</f>
        <v>3個</v>
      </c>
      <c r="E18" s="7"/>
      <c r="F18" s="23"/>
    </row>
    <row r="19" customFormat="false" ht="33.75" hidden="false" customHeight="true" outlineLevel="0" collapsed="false">
      <c r="A19" s="23" t="n">
        <f aca="false">問題一覧!A19</f>
        <v>18</v>
      </c>
      <c r="B19" s="23" t="str">
        <f aca="false">問題一覧!B19</f>
        <v>術中維持の基本</v>
      </c>
      <c r="C19" s="7" t="str">
        <f aca="false">問題一覧!D19</f>
        <v>覚醒遅延の鑑別を挙げよ。</v>
      </c>
      <c r="D19" s="23" t="str">
        <f aca="false">問題一覧!G19&amp;"個"</f>
        <v>3個</v>
      </c>
      <c r="E19" s="7"/>
      <c r="F19" s="23"/>
    </row>
    <row r="20" customFormat="false" ht="33.75" hidden="false" customHeight="true" outlineLevel="0" collapsed="false">
      <c r="A20" s="23" t="n">
        <f aca="false">問題一覧!A20</f>
        <v>19</v>
      </c>
      <c r="B20" s="23" t="str">
        <f aca="false">問題一覧!B20</f>
        <v>術中維持の基本</v>
      </c>
      <c r="C20" s="7" t="str">
        <f aca="false">問題一覧!D20</f>
        <v>抜管の基準を挙げよ。</v>
      </c>
      <c r="D20" s="23" t="str">
        <f aca="false">問題一覧!G20&amp;"個"</f>
        <v>3個</v>
      </c>
      <c r="E20" s="7"/>
      <c r="F20" s="23"/>
    </row>
    <row r="21" customFormat="false" ht="33.75" hidden="false" customHeight="true" outlineLevel="0" collapsed="false">
      <c r="A21" s="23" t="n">
        <f aca="false">問題一覧!A21</f>
        <v>20</v>
      </c>
      <c r="B21" s="23" t="str">
        <f aca="false">問題一覧!B21</f>
        <v>術中維持の基本</v>
      </c>
      <c r="C21" s="7" t="str">
        <f aca="false">問題一覧!D21</f>
        <v>術中覚醒のリスク因子と予防は。</v>
      </c>
      <c r="D21" s="23" t="str">
        <f aca="false">問題一覧!G21&amp;"個"</f>
        <v>3個</v>
      </c>
      <c r="E21" s="7"/>
      <c r="F21" s="23"/>
    </row>
    <row r="22" customFormat="false" ht="33.75" hidden="false" customHeight="true" outlineLevel="0" collapsed="false">
      <c r="A22" s="23" t="n">
        <f aca="false">問題一覧!A22</f>
        <v>21</v>
      </c>
      <c r="B22" s="23" t="str">
        <f aca="false">問題一覧!B22</f>
        <v>術中維持の基本</v>
      </c>
      <c r="C22" s="7" t="str">
        <f aca="false">問題一覧!D22</f>
        <v>術中のアナフィラキシーを疑ったときの対応は。</v>
      </c>
      <c r="D22" s="23" t="str">
        <f aca="false">問題一覧!G22&amp;"個"</f>
        <v>3個</v>
      </c>
      <c r="E22" s="7"/>
      <c r="F22" s="23"/>
    </row>
    <row r="23" customFormat="false" ht="33.75" hidden="false" customHeight="true" outlineLevel="0" collapsed="false">
      <c r="A23" s="23" t="n">
        <f aca="false">問題一覧!A23</f>
        <v>22</v>
      </c>
      <c r="B23" s="23" t="str">
        <f aca="false">問題一覧!B23</f>
        <v>術中維持の基本</v>
      </c>
      <c r="C23" s="7" t="str">
        <f aca="false">問題一覧!D23</f>
        <v>術中の代謝性アシドーシスの原因は。</v>
      </c>
      <c r="D23" s="23" t="str">
        <f aca="false">問題一覧!G23&amp;"個"</f>
        <v>3個</v>
      </c>
      <c r="E23" s="7"/>
      <c r="F23" s="23"/>
    </row>
    <row r="24" customFormat="false" ht="33.75" hidden="false" customHeight="true" outlineLevel="0" collapsed="false">
      <c r="A24" s="23" t="n">
        <f aca="false">問題一覧!A24</f>
        <v>23</v>
      </c>
      <c r="B24" s="23" t="str">
        <f aca="false">問題一覧!B24</f>
        <v>薬剤</v>
      </c>
      <c r="C24" s="7" t="str">
        <f aca="false">問題一覧!D24</f>
        <v>プロポフォールの導入量・維持量は。</v>
      </c>
      <c r="D24" s="23" t="str">
        <f aca="false">問題一覧!G24&amp;"個"</f>
        <v>2個</v>
      </c>
      <c r="E24" s="7"/>
      <c r="F24" s="23"/>
    </row>
    <row r="25" customFormat="false" ht="33.75" hidden="false" customHeight="true" outlineLevel="0" collapsed="false">
      <c r="A25" s="23" t="n">
        <f aca="false">問題一覧!A25</f>
        <v>24</v>
      </c>
      <c r="B25" s="23" t="str">
        <f aca="false">問題一覧!B25</f>
        <v>薬剤</v>
      </c>
      <c r="C25" s="7" t="str">
        <f aca="false">問題一覧!D25</f>
        <v>プロポフォールの注入時痛の対策は。</v>
      </c>
      <c r="D25" s="23" t="str">
        <f aca="false">問題一覧!G25&amp;"個"</f>
        <v>3個</v>
      </c>
      <c r="E25" s="7"/>
      <c r="F25" s="23"/>
    </row>
    <row r="26" customFormat="false" ht="33.75" hidden="false" customHeight="true" outlineLevel="0" collapsed="false">
      <c r="A26" s="23" t="n">
        <f aca="false">問題一覧!A26</f>
        <v>25</v>
      </c>
      <c r="B26" s="23" t="str">
        <f aca="false">問題一覧!B26</f>
        <v>薬剤</v>
      </c>
      <c r="C26" s="7" t="str">
        <f aca="false">問題一覧!D26</f>
        <v>プロポフォールの主な副作用は。</v>
      </c>
      <c r="D26" s="23" t="str">
        <f aca="false">問題一覧!G26&amp;"個"</f>
        <v>3個</v>
      </c>
      <c r="E26" s="7"/>
      <c r="F26" s="23"/>
    </row>
    <row r="27" customFormat="false" ht="33.75" hidden="false" customHeight="true" outlineLevel="0" collapsed="false">
      <c r="A27" s="23" t="n">
        <f aca="false">問題一覧!A27</f>
        <v>26</v>
      </c>
      <c r="B27" s="23" t="str">
        <f aca="false">問題一覧!B27</f>
        <v>薬剤</v>
      </c>
      <c r="C27" s="7" t="str">
        <f aca="false">問題一覧!D27</f>
        <v>ケタミンの用量と特徴は。</v>
      </c>
      <c r="D27" s="23" t="str">
        <f aca="false">問題一覧!G27&amp;"個"</f>
        <v>3個</v>
      </c>
      <c r="E27" s="7"/>
      <c r="F27" s="23"/>
    </row>
    <row r="28" customFormat="false" ht="33.75" hidden="false" customHeight="true" outlineLevel="0" collapsed="false">
      <c r="A28" s="23" t="n">
        <f aca="false">問題一覧!A28</f>
        <v>27</v>
      </c>
      <c r="B28" s="23" t="str">
        <f aca="false">問題一覧!B28</f>
        <v>薬剤</v>
      </c>
      <c r="C28" s="7" t="str">
        <f aca="false">問題一覧!D28</f>
        <v>ミダゾラムの用量と注意点は。</v>
      </c>
      <c r="D28" s="23" t="str">
        <f aca="false">問題一覧!G28&amp;"個"</f>
        <v>3個</v>
      </c>
      <c r="E28" s="7"/>
      <c r="F28" s="23"/>
    </row>
    <row r="29" customFormat="false" ht="33.75" hidden="false" customHeight="true" outlineLevel="0" collapsed="false">
      <c r="A29" s="23" t="n">
        <f aca="false">問題一覧!A29</f>
        <v>28</v>
      </c>
      <c r="B29" s="23" t="str">
        <f aca="false">問題一覧!B29</f>
        <v>薬剤</v>
      </c>
      <c r="C29" s="7" t="str">
        <f aca="false">問題一覧!D29</f>
        <v>デクスメデトミジンの用量と特徴は。</v>
      </c>
      <c r="D29" s="23" t="str">
        <f aca="false">問題一覧!G29&amp;"個"</f>
        <v>3個</v>
      </c>
      <c r="E29" s="7"/>
      <c r="F29" s="23"/>
    </row>
    <row r="30" customFormat="false" ht="33.75" hidden="false" customHeight="true" outlineLevel="0" collapsed="false">
      <c r="A30" s="23" t="n">
        <f aca="false">問題一覧!A30</f>
        <v>29</v>
      </c>
      <c r="B30" s="23" t="str">
        <f aca="false">問題一覧!B30</f>
        <v>薬剤</v>
      </c>
      <c r="C30" s="7" t="str">
        <f aca="false">問題一覧!D30</f>
        <v>ロクロニウムの挿管量・維持量・作用時間は。</v>
      </c>
      <c r="D30" s="23" t="str">
        <f aca="false">問題一覧!G30&amp;"個"</f>
        <v>3個</v>
      </c>
      <c r="E30" s="7"/>
      <c r="F30" s="23"/>
    </row>
    <row r="31" customFormat="false" ht="33.75" hidden="false" customHeight="true" outlineLevel="0" collapsed="false">
      <c r="A31" s="23" t="n">
        <f aca="false">問題一覧!A31</f>
        <v>30</v>
      </c>
      <c r="B31" s="23" t="str">
        <f aca="false">問題一覧!B31</f>
        <v>薬剤</v>
      </c>
      <c r="C31" s="7" t="str">
        <f aca="false">問題一覧!D31</f>
        <v>スガマデクスの用量は。</v>
      </c>
      <c r="D31" s="23" t="str">
        <f aca="false">問題一覧!G31&amp;"個"</f>
        <v>2個</v>
      </c>
      <c r="E31" s="7"/>
      <c r="F31" s="23"/>
    </row>
    <row r="32" customFormat="false" ht="33.75" hidden="false" customHeight="true" outlineLevel="0" collapsed="false">
      <c r="A32" s="23" t="n">
        <f aca="false">問題一覧!A32</f>
        <v>31</v>
      </c>
      <c r="B32" s="23" t="str">
        <f aca="false">問題一覧!B32</f>
        <v>薬剤</v>
      </c>
      <c r="C32" s="7" t="str">
        <f aca="false">問題一覧!D32</f>
        <v>ネオスチグミンの用量と注意点は。</v>
      </c>
      <c r="D32" s="23" t="str">
        <f aca="false">問題一覧!G32&amp;"個"</f>
        <v>3個</v>
      </c>
      <c r="E32" s="7"/>
      <c r="F32" s="23"/>
    </row>
    <row r="33" customFormat="false" ht="33.75" hidden="false" customHeight="true" outlineLevel="0" collapsed="false">
      <c r="A33" s="23" t="n">
        <f aca="false">問題一覧!A33</f>
        <v>32</v>
      </c>
      <c r="B33" s="23" t="str">
        <f aca="false">問題一覧!B33</f>
        <v>薬剤</v>
      </c>
      <c r="C33" s="7" t="str">
        <f aca="false">問題一覧!D33</f>
        <v>スキサメトニウムの用量と禁忌は。</v>
      </c>
      <c r="D33" s="23" t="str">
        <f aca="false">問題一覧!G33&amp;"個"</f>
        <v>2個</v>
      </c>
      <c r="E33" s="7"/>
      <c r="F33" s="23"/>
    </row>
    <row r="34" customFormat="false" ht="33.75" hidden="false" customHeight="true" outlineLevel="0" collapsed="false">
      <c r="A34" s="23" t="n">
        <f aca="false">問題一覧!A34</f>
        <v>33</v>
      </c>
      <c r="B34" s="23" t="str">
        <f aca="false">問題一覧!B34</f>
        <v>薬剤</v>
      </c>
      <c r="C34" s="7" t="str">
        <f aca="false">問題一覧!D34</f>
        <v>筋弛緩モニタ（TOF）の使い方は。</v>
      </c>
      <c r="D34" s="23" t="str">
        <f aca="false">問題一覧!G34&amp;"個"</f>
        <v>3個</v>
      </c>
      <c r="E34" s="7"/>
      <c r="F34" s="23"/>
    </row>
    <row r="35" customFormat="false" ht="33.75" hidden="false" customHeight="true" outlineLevel="0" collapsed="false">
      <c r="A35" s="23" t="n">
        <f aca="false">問題一覧!A35</f>
        <v>34</v>
      </c>
      <c r="B35" s="23" t="str">
        <f aca="false">問題一覧!B35</f>
        <v>薬剤</v>
      </c>
      <c r="C35" s="7" t="str">
        <f aca="false">問題一覧!D35</f>
        <v>フェンタニルの導入量と特徴は。</v>
      </c>
      <c r="D35" s="23" t="str">
        <f aca="false">問題一覧!G35&amp;"個"</f>
        <v>3個</v>
      </c>
      <c r="E35" s="7"/>
      <c r="F35" s="23"/>
    </row>
    <row r="36" customFormat="false" ht="33.75" hidden="false" customHeight="true" outlineLevel="0" collapsed="false">
      <c r="A36" s="23" t="n">
        <f aca="false">問題一覧!A36</f>
        <v>35</v>
      </c>
      <c r="B36" s="23" t="str">
        <f aca="false">問題一覧!B36</f>
        <v>薬剤</v>
      </c>
      <c r="C36" s="7" t="str">
        <f aca="false">問題一覧!D36</f>
        <v>レミフェンタニルの投与量と注意点は。</v>
      </c>
      <c r="D36" s="23" t="str">
        <f aca="false">問題一覧!G36&amp;"個"</f>
        <v>3個</v>
      </c>
      <c r="E36" s="7"/>
      <c r="F36" s="23"/>
    </row>
    <row r="37" customFormat="false" ht="33.75" hidden="false" customHeight="true" outlineLevel="0" collapsed="false">
      <c r="A37" s="23" t="n">
        <f aca="false">問題一覧!A37</f>
        <v>36</v>
      </c>
      <c r="B37" s="23" t="str">
        <f aca="false">問題一覧!B37</f>
        <v>薬剤</v>
      </c>
      <c r="C37" s="7" t="str">
        <f aca="false">問題一覧!D37</f>
        <v>術後鎮痛に用いるオピオイドと投与量の例は。</v>
      </c>
      <c r="D37" s="23" t="str">
        <f aca="false">問題一覧!G37&amp;"個"</f>
        <v>3個</v>
      </c>
      <c r="E37" s="7"/>
      <c r="F37" s="23"/>
    </row>
    <row r="38" customFormat="false" ht="33.75" hidden="false" customHeight="true" outlineLevel="0" collapsed="false">
      <c r="A38" s="23" t="n">
        <f aca="false">問題一覧!A38</f>
        <v>37</v>
      </c>
      <c r="B38" s="23" t="str">
        <f aca="false">問題一覧!B38</f>
        <v>薬剤</v>
      </c>
      <c r="C38" s="7" t="str">
        <f aca="false">問題一覧!D38</f>
        <v>エフェドリンは1回何mgくらい使うか。特徴は。</v>
      </c>
      <c r="D38" s="23" t="str">
        <f aca="false">問題一覧!G38&amp;"個"</f>
        <v>3個</v>
      </c>
      <c r="E38" s="7"/>
      <c r="F38" s="23"/>
    </row>
    <row r="39" customFormat="false" ht="33.75" hidden="false" customHeight="true" outlineLevel="0" collapsed="false">
      <c r="A39" s="23" t="n">
        <f aca="false">問題一覧!A39</f>
        <v>38</v>
      </c>
      <c r="B39" s="23" t="str">
        <f aca="false">問題一覧!B39</f>
        <v>薬剤</v>
      </c>
      <c r="C39" s="7" t="str">
        <f aca="false">問題一覧!D39</f>
        <v>フェニレフリンの1回量と特徴は。</v>
      </c>
      <c r="D39" s="23" t="str">
        <f aca="false">問題一覧!G39&amp;"個"</f>
        <v>3個</v>
      </c>
      <c r="E39" s="7"/>
      <c r="F39" s="23"/>
    </row>
    <row r="40" customFormat="false" ht="33.75" hidden="false" customHeight="true" outlineLevel="0" collapsed="false">
      <c r="A40" s="23" t="n">
        <f aca="false">問題一覧!A40</f>
        <v>39</v>
      </c>
      <c r="B40" s="23" t="str">
        <f aca="false">問題一覧!B40</f>
        <v>薬剤</v>
      </c>
      <c r="C40" s="7" t="str">
        <f aca="false">問題一覧!D40</f>
        <v>ノルアドレナリンの投与量と注意点は。</v>
      </c>
      <c r="D40" s="23" t="str">
        <f aca="false">問題一覧!G40&amp;"個"</f>
        <v>3個</v>
      </c>
      <c r="E40" s="7"/>
      <c r="F40" s="23"/>
    </row>
    <row r="41" customFormat="false" ht="33.75" hidden="false" customHeight="true" outlineLevel="0" collapsed="false">
      <c r="A41" s="23" t="n">
        <f aca="false">問題一覧!A41</f>
        <v>40</v>
      </c>
      <c r="B41" s="23" t="str">
        <f aca="false">問題一覧!B41</f>
        <v>薬剤</v>
      </c>
      <c r="C41" s="7" t="str">
        <f aca="false">問題一覧!D41</f>
        <v>アドレナリンの用量（アナフィラキシー・心停止）は。</v>
      </c>
      <c r="D41" s="23" t="str">
        <f aca="false">問題一覧!G41&amp;"個"</f>
        <v>3個</v>
      </c>
      <c r="E41" s="7"/>
      <c r="F41" s="23"/>
    </row>
    <row r="42" customFormat="false" ht="33.75" hidden="false" customHeight="true" outlineLevel="0" collapsed="false">
      <c r="A42" s="23" t="n">
        <f aca="false">問題一覧!A42</f>
        <v>41</v>
      </c>
      <c r="B42" s="23" t="str">
        <f aca="false">問題一覧!B42</f>
        <v>薬剤</v>
      </c>
      <c r="C42" s="7" t="str">
        <f aca="false">問題一覧!D42</f>
        <v>ドブタミン・ドパミンの使い分けは。</v>
      </c>
      <c r="D42" s="23" t="str">
        <f aca="false">問題一覧!G42&amp;"個"</f>
        <v>2個</v>
      </c>
      <c r="E42" s="7"/>
      <c r="F42" s="23"/>
    </row>
    <row r="43" customFormat="false" ht="33.75" hidden="false" customHeight="true" outlineLevel="0" collapsed="false">
      <c r="A43" s="23" t="n">
        <f aca="false">問題一覧!A43</f>
        <v>42</v>
      </c>
      <c r="B43" s="23" t="str">
        <f aca="false">問題一覧!B43</f>
        <v>薬剤</v>
      </c>
      <c r="C43" s="7" t="str">
        <f aca="false">問題一覧!D43</f>
        <v>アトロピンの1回量と適応・副作用は。</v>
      </c>
      <c r="D43" s="23" t="str">
        <f aca="false">問題一覧!G43&amp;"個"</f>
        <v>3個</v>
      </c>
      <c r="E43" s="7"/>
      <c r="F43" s="23"/>
    </row>
    <row r="44" customFormat="false" ht="33.75" hidden="false" customHeight="true" outlineLevel="0" collapsed="false">
      <c r="A44" s="23" t="n">
        <f aca="false">問題一覧!A44</f>
        <v>43</v>
      </c>
      <c r="B44" s="23" t="str">
        <f aca="false">問題一覧!B44</f>
        <v>薬剤</v>
      </c>
      <c r="C44" s="7" t="str">
        <f aca="false">問題一覧!D44</f>
        <v>ニカルジピンの使い方は。</v>
      </c>
      <c r="D44" s="23" t="str">
        <f aca="false">問題一覧!G44&amp;"個"</f>
        <v>3個</v>
      </c>
      <c r="E44" s="7"/>
      <c r="F44" s="23"/>
    </row>
    <row r="45" customFormat="false" ht="33.75" hidden="false" customHeight="true" outlineLevel="0" collapsed="false">
      <c r="A45" s="23" t="n">
        <f aca="false">問題一覧!A45</f>
        <v>44</v>
      </c>
      <c r="B45" s="23" t="str">
        <f aca="false">問題一覧!B45</f>
        <v>薬剤</v>
      </c>
      <c r="C45" s="7" t="str">
        <f aca="false">問題一覧!D45</f>
        <v>ニトログリセリンの使い方は。</v>
      </c>
      <c r="D45" s="23" t="str">
        <f aca="false">問題一覧!G45&amp;"個"</f>
        <v>3個</v>
      </c>
      <c r="E45" s="7"/>
      <c r="F45" s="23"/>
    </row>
    <row r="46" customFormat="false" ht="33.75" hidden="false" customHeight="true" outlineLevel="0" collapsed="false">
      <c r="A46" s="23" t="n">
        <f aca="false">問題一覧!A46</f>
        <v>45</v>
      </c>
      <c r="B46" s="23" t="str">
        <f aca="false">問題一覧!B46</f>
        <v>薬剤</v>
      </c>
      <c r="C46" s="7" t="str">
        <f aca="false">問題一覧!D46</f>
        <v>ランジオロールの使い方と注意点は。</v>
      </c>
      <c r="D46" s="23" t="str">
        <f aca="false">問題一覧!G46&amp;"個"</f>
        <v>3個</v>
      </c>
      <c r="E46" s="7"/>
      <c r="F46" s="23"/>
    </row>
    <row r="47" customFormat="false" ht="33.75" hidden="false" customHeight="true" outlineLevel="0" collapsed="false">
      <c r="A47" s="23" t="n">
        <f aca="false">問題一覧!A47</f>
        <v>46</v>
      </c>
      <c r="B47" s="23" t="str">
        <f aca="false">問題一覧!B47</f>
        <v>薬剤</v>
      </c>
      <c r="C47" s="7" t="str">
        <f aca="false">問題一覧!D47</f>
        <v>術中の頻脈性心房細動への薬剤は。</v>
      </c>
      <c r="D47" s="23" t="str">
        <f aca="false">問題一覧!G47&amp;"個"</f>
        <v>3個</v>
      </c>
      <c r="E47" s="7"/>
      <c r="F47" s="23"/>
    </row>
    <row r="48" customFormat="false" ht="33.75" hidden="false" customHeight="true" outlineLevel="0" collapsed="false">
      <c r="A48" s="23" t="n">
        <f aca="false">問題一覧!A48</f>
        <v>47</v>
      </c>
      <c r="B48" s="23" t="str">
        <f aca="false">問題一覧!B48</f>
        <v>薬剤</v>
      </c>
      <c r="C48" s="7" t="str">
        <f aca="false">問題一覧!D48</f>
        <v>アセトアミノフェン静注の用量と注意点は。</v>
      </c>
      <c r="D48" s="23" t="str">
        <f aca="false">問題一覧!G48&amp;"個"</f>
        <v>3個</v>
      </c>
      <c r="E48" s="7"/>
      <c r="F48" s="23"/>
    </row>
    <row r="49" customFormat="false" ht="33.75" hidden="false" customHeight="true" outlineLevel="0" collapsed="false">
      <c r="A49" s="23" t="n">
        <f aca="false">問題一覧!A49</f>
        <v>48</v>
      </c>
      <c r="B49" s="23" t="str">
        <f aca="false">問題一覧!B49</f>
        <v>薬剤</v>
      </c>
      <c r="C49" s="7" t="str">
        <f aca="false">問題一覧!D49</f>
        <v>NSAIDs（フルルビプロフェンなど）の用量と禁忌は。</v>
      </c>
      <c r="D49" s="23" t="str">
        <f aca="false">問題一覧!G49&amp;"個"</f>
        <v>2個</v>
      </c>
      <c r="E49" s="7"/>
      <c r="F49" s="23"/>
    </row>
    <row r="50" customFormat="false" ht="33.75" hidden="false" customHeight="true" outlineLevel="0" collapsed="false">
      <c r="A50" s="23" t="n">
        <f aca="false">問題一覧!A50</f>
        <v>49</v>
      </c>
      <c r="B50" s="23" t="str">
        <f aca="false">問題一覧!B50</f>
        <v>薬剤</v>
      </c>
      <c r="C50" s="7" t="str">
        <f aca="false">問題一覧!D50</f>
        <v>PONVに使う薬と用量は。</v>
      </c>
      <c r="D50" s="23" t="str">
        <f aca="false">問題一覧!G50&amp;"個"</f>
        <v>3個</v>
      </c>
      <c r="E50" s="7"/>
      <c r="F50" s="23"/>
    </row>
    <row r="51" customFormat="false" ht="33.75" hidden="false" customHeight="true" outlineLevel="0" collapsed="false">
      <c r="A51" s="23" t="n">
        <f aca="false">問題一覧!A51</f>
        <v>50</v>
      </c>
      <c r="B51" s="23" t="str">
        <f aca="false">問題一覧!B51</f>
        <v>薬剤</v>
      </c>
      <c r="C51" s="7" t="str">
        <f aca="false">問題一覧!D51</f>
        <v>PONVのリスク因子は。</v>
      </c>
      <c r="D51" s="23" t="str">
        <f aca="false">問題一覧!G51&amp;"個"</f>
        <v>3個</v>
      </c>
      <c r="E51" s="7"/>
      <c r="F51" s="23"/>
    </row>
    <row r="52" customFormat="false" ht="33.75" hidden="false" customHeight="true" outlineLevel="0" collapsed="false">
      <c r="A52" s="23" t="n">
        <f aca="false">問題一覧!A52</f>
        <v>51</v>
      </c>
      <c r="B52" s="23" t="str">
        <f aca="false">問題一覧!B52</f>
        <v>薬剤</v>
      </c>
      <c r="C52" s="7" t="str">
        <f aca="false">問題一覧!D52</f>
        <v>リドカインの最大投与量は。</v>
      </c>
      <c r="D52" s="23" t="str">
        <f aca="false">問題一覧!G52&amp;"個"</f>
        <v>2個</v>
      </c>
      <c r="E52" s="7"/>
      <c r="F52" s="23"/>
    </row>
    <row r="53" customFormat="false" ht="33.75" hidden="false" customHeight="true" outlineLevel="0" collapsed="false">
      <c r="A53" s="23" t="n">
        <f aca="false">問題一覧!A53</f>
        <v>52</v>
      </c>
      <c r="B53" s="23" t="str">
        <f aca="false">問題一覧!B53</f>
        <v>薬剤</v>
      </c>
      <c r="C53" s="7" t="str">
        <f aca="false">問題一覧!D53</f>
        <v>ロピバカイン・ブピバカインの最大量と特徴は。</v>
      </c>
      <c r="D53" s="23" t="str">
        <f aca="false">問題一覧!G53&amp;"個"</f>
        <v>3個</v>
      </c>
      <c r="E53" s="7"/>
      <c r="F53" s="23"/>
    </row>
    <row r="54" customFormat="false" ht="33.75" hidden="false" customHeight="true" outlineLevel="0" collapsed="false">
      <c r="A54" s="23" t="n">
        <f aca="false">問題一覧!A54</f>
        <v>53</v>
      </c>
      <c r="B54" s="23" t="str">
        <f aca="false">問題一覧!B54</f>
        <v>薬剤</v>
      </c>
      <c r="C54" s="7" t="str">
        <f aca="false">問題一覧!D54</f>
        <v>局所麻酔薬中毒の症状と治療は。</v>
      </c>
      <c r="D54" s="23" t="str">
        <f aca="false">問題一覧!G54&amp;"個"</f>
        <v>3個</v>
      </c>
      <c r="E54" s="7"/>
      <c r="F54" s="23"/>
    </row>
    <row r="55" customFormat="false" ht="33.75" hidden="false" customHeight="true" outlineLevel="0" collapsed="false">
      <c r="A55" s="23" t="n">
        <f aca="false">問題一覧!A55</f>
        <v>54</v>
      </c>
      <c r="B55" s="23" t="str">
        <f aca="false">問題一覧!B55</f>
        <v>薬剤</v>
      </c>
      <c r="C55" s="7" t="str">
        <f aca="false">問題一覧!D55</f>
        <v>トラネキサム酸の用量と適応は。</v>
      </c>
      <c r="D55" s="23" t="str">
        <f aca="false">問題一覧!G55&amp;"個"</f>
        <v>2個</v>
      </c>
      <c r="E55" s="7"/>
      <c r="F55" s="23"/>
    </row>
    <row r="56" customFormat="false" ht="33.75" hidden="false" customHeight="true" outlineLevel="0" collapsed="false">
      <c r="A56" s="23" t="n">
        <f aca="false">問題一覧!A56</f>
        <v>55</v>
      </c>
      <c r="B56" s="23" t="str">
        <f aca="false">問題一覧!B56</f>
        <v>薬剤</v>
      </c>
      <c r="C56" s="7" t="str">
        <f aca="false">問題一覧!D56</f>
        <v>プロタミンの投与量と副作用は。</v>
      </c>
      <c r="D56" s="23" t="str">
        <f aca="false">問題一覧!G56&amp;"個"</f>
        <v>3個</v>
      </c>
      <c r="E56" s="7"/>
      <c r="F56" s="23"/>
    </row>
    <row r="57" customFormat="false" ht="33.75" hidden="false" customHeight="true" outlineLevel="0" collapsed="false">
      <c r="A57" s="23" t="n">
        <f aca="false">問題一覧!A57</f>
        <v>56</v>
      </c>
      <c r="B57" s="23" t="str">
        <f aca="false">問題一覧!B57</f>
        <v>薬剤</v>
      </c>
      <c r="C57" s="7" t="str">
        <f aca="false">問題一覧!D57</f>
        <v>高K血症の緊急治療を挙げよ。</v>
      </c>
      <c r="D57" s="23" t="str">
        <f aca="false">問題一覧!G57&amp;"個"</f>
        <v>3個</v>
      </c>
      <c r="E57" s="7"/>
      <c r="F57" s="23"/>
    </row>
    <row r="58" customFormat="false" ht="33.75" hidden="false" customHeight="true" outlineLevel="0" collapsed="false">
      <c r="A58" s="23" t="n">
        <f aca="false">問題一覧!A58</f>
        <v>57</v>
      </c>
      <c r="B58" s="23" t="str">
        <f aca="false">問題一覧!B58</f>
        <v>薬剤</v>
      </c>
      <c r="C58" s="7" t="str">
        <f aca="false">問題一覧!D58</f>
        <v>硫酸マグネシウムの周術期の用途と注意点は。</v>
      </c>
      <c r="D58" s="23" t="str">
        <f aca="false">問題一覧!G58&amp;"個"</f>
        <v>3個</v>
      </c>
      <c r="E58" s="7"/>
      <c r="F58" s="23"/>
    </row>
    <row r="59" customFormat="false" ht="33.75" hidden="false" customHeight="true" outlineLevel="0" collapsed="false">
      <c r="A59" s="23" t="n">
        <f aca="false">問題一覧!A59</f>
        <v>58</v>
      </c>
      <c r="B59" s="23" t="str">
        <f aca="false">問題一覧!B59</f>
        <v>薬剤</v>
      </c>
      <c r="C59" s="7" t="str">
        <f aca="false">問題一覧!D59</f>
        <v>悪性高熱の治療は。</v>
      </c>
      <c r="D59" s="23" t="str">
        <f aca="false">問題一覧!G59&amp;"個"</f>
        <v>3個</v>
      </c>
      <c r="E59" s="7"/>
      <c r="F59" s="23"/>
    </row>
    <row r="60" customFormat="false" ht="33.75" hidden="false" customHeight="true" outlineLevel="0" collapsed="false">
      <c r="A60" s="23" t="n">
        <f aca="false">問題一覧!A60</f>
        <v>59</v>
      </c>
      <c r="B60" s="23" t="str">
        <f aca="false">問題一覧!B60</f>
        <v>薬剤</v>
      </c>
      <c r="C60" s="7" t="str">
        <f aca="false">問題一覧!D60</f>
        <v>亜酸化窒素を避けるべき状況は。</v>
      </c>
      <c r="D60" s="23" t="str">
        <f aca="false">問題一覧!G60&amp;"個"</f>
        <v>3個</v>
      </c>
      <c r="E60" s="7"/>
      <c r="F60" s="23"/>
    </row>
    <row r="61" customFormat="false" ht="33.75" hidden="false" customHeight="true" outlineLevel="0" collapsed="false">
      <c r="A61" s="23" t="n">
        <f aca="false">問題一覧!A61</f>
        <v>60</v>
      </c>
      <c r="B61" s="23" t="str">
        <f aca="false">問題一覧!B61</f>
        <v>薬剤</v>
      </c>
      <c r="C61" s="7" t="str">
        <f aca="false">問題一覧!D61</f>
        <v>肥満患者で薬用量を計算する体重は。</v>
      </c>
      <c r="D61" s="23" t="str">
        <f aca="false">問題一覧!G61&amp;"個"</f>
        <v>3個</v>
      </c>
      <c r="E61" s="7"/>
      <c r="F61" s="23"/>
    </row>
    <row r="62" customFormat="false" ht="33.75" hidden="false" customHeight="true" outlineLevel="0" collapsed="false">
      <c r="A62" s="23" t="n">
        <f aca="false">問題一覧!A62</f>
        <v>61</v>
      </c>
      <c r="B62" s="23" t="str">
        <f aca="false">問題一覧!B62</f>
        <v>呼吸・人工呼吸</v>
      </c>
      <c r="C62" s="7" t="str">
        <f aca="false">問題一覧!D62</f>
        <v>マスク換気困難を予測する因子は。</v>
      </c>
      <c r="D62" s="23" t="str">
        <f aca="false">問題一覧!G62&amp;"個"</f>
        <v>3個</v>
      </c>
      <c r="E62" s="7"/>
      <c r="F62" s="23"/>
    </row>
    <row r="63" customFormat="false" ht="33.75" hidden="false" customHeight="true" outlineLevel="0" collapsed="false">
      <c r="A63" s="23" t="n">
        <f aca="false">問題一覧!A63</f>
        <v>62</v>
      </c>
      <c r="B63" s="23" t="str">
        <f aca="false">問題一覧!B63</f>
        <v>呼吸・人工呼吸</v>
      </c>
      <c r="C63" s="7" t="str">
        <f aca="false">問題一覧!D63</f>
        <v>挿管困難を予測する所見は。</v>
      </c>
      <c r="D63" s="23" t="str">
        <f aca="false">問題一覧!G63&amp;"個"</f>
        <v>3個</v>
      </c>
      <c r="E63" s="7"/>
      <c r="F63" s="23"/>
    </row>
    <row r="64" customFormat="false" ht="33.75" hidden="false" customHeight="true" outlineLevel="0" collapsed="false">
      <c r="A64" s="23" t="n">
        <f aca="false">問題一覧!A64</f>
        <v>63</v>
      </c>
      <c r="B64" s="23" t="str">
        <f aca="false">問題一覧!B64</f>
        <v>呼吸・人工呼吸</v>
      </c>
      <c r="C64" s="7" t="str">
        <f aca="false">問題一覧!D64</f>
        <v>前酸素化（脱窒素）の方法と目安は。</v>
      </c>
      <c r="D64" s="23" t="str">
        <f aca="false">問題一覧!G64&amp;"個"</f>
        <v>3個</v>
      </c>
      <c r="E64" s="7"/>
      <c r="F64" s="23"/>
    </row>
    <row r="65" customFormat="false" ht="33.75" hidden="false" customHeight="true" outlineLevel="0" collapsed="false">
      <c r="A65" s="23" t="n">
        <f aca="false">問題一覧!A65</f>
        <v>64</v>
      </c>
      <c r="B65" s="23" t="str">
        <f aca="false">問題一覧!B65</f>
        <v>呼吸・人工呼吸</v>
      </c>
      <c r="C65" s="7" t="str">
        <f aca="false">問題一覧!D65</f>
        <v>迅速導入（RSI）の手順は。</v>
      </c>
      <c r="D65" s="23" t="str">
        <f aca="false">問題一覧!G65&amp;"個"</f>
        <v>3個</v>
      </c>
      <c r="E65" s="7"/>
      <c r="F65" s="23"/>
    </row>
    <row r="66" customFormat="false" ht="33.75" hidden="false" customHeight="true" outlineLevel="0" collapsed="false">
      <c r="A66" s="23" t="n">
        <f aca="false">問題一覧!A66</f>
        <v>65</v>
      </c>
      <c r="B66" s="23" t="str">
        <f aca="false">問題一覧!B66</f>
        <v>呼吸・人工呼吸</v>
      </c>
      <c r="C66" s="7" t="str">
        <f aca="false">問題一覧!D66</f>
        <v>換気も挿管もできない（CICO）ときの対応は。</v>
      </c>
      <c r="D66" s="23" t="str">
        <f aca="false">問題一覧!G66&amp;"個"</f>
        <v>3個</v>
      </c>
      <c r="E66" s="7"/>
      <c r="F66" s="23"/>
    </row>
    <row r="67" customFormat="false" ht="33.75" hidden="false" customHeight="true" outlineLevel="0" collapsed="false">
      <c r="A67" s="23" t="n">
        <f aca="false">問題一覧!A67</f>
        <v>66</v>
      </c>
      <c r="B67" s="23" t="str">
        <f aca="false">問題一覧!B67</f>
        <v>呼吸・人工呼吸</v>
      </c>
      <c r="C67" s="7" t="str">
        <f aca="false">問題一覧!D67</f>
        <v>気道内圧が上昇した。鑑別を挙げよ。</v>
      </c>
      <c r="D67" s="23" t="str">
        <f aca="false">問題一覧!G67&amp;"個"</f>
        <v>3個</v>
      </c>
      <c r="E67" s="7"/>
      <c r="F67" s="23"/>
    </row>
    <row r="68" customFormat="false" ht="33.75" hidden="false" customHeight="true" outlineLevel="0" collapsed="false">
      <c r="A68" s="23" t="n">
        <f aca="false">問題一覧!A68</f>
        <v>67</v>
      </c>
      <c r="B68" s="23" t="str">
        <f aca="false">問題一覧!B68</f>
        <v>呼吸・人工呼吸</v>
      </c>
      <c r="C68" s="7" t="str">
        <f aca="false">問題一覧!D68</f>
        <v>片肺挿管を疑う所見と対応は。</v>
      </c>
      <c r="D68" s="23" t="str">
        <f aca="false">問題一覧!G68&amp;"個"</f>
        <v>3個</v>
      </c>
      <c r="E68" s="7"/>
      <c r="F68" s="23"/>
    </row>
    <row r="69" customFormat="false" ht="33.75" hidden="false" customHeight="true" outlineLevel="0" collapsed="false">
      <c r="A69" s="23" t="n">
        <f aca="false">問題一覧!A69</f>
        <v>68</v>
      </c>
      <c r="B69" s="23" t="str">
        <f aca="false">問題一覧!B69</f>
        <v>呼吸・人工呼吸</v>
      </c>
      <c r="C69" s="7" t="str">
        <f aca="false">問題一覧!D69</f>
        <v>術中の低酸素血症の鑑別は。</v>
      </c>
      <c r="D69" s="23" t="str">
        <f aca="false">問題一覧!G69&amp;"個"</f>
        <v>3個</v>
      </c>
      <c r="E69" s="7"/>
      <c r="F69" s="23"/>
    </row>
    <row r="70" customFormat="false" ht="33.75" hidden="false" customHeight="true" outlineLevel="0" collapsed="false">
      <c r="A70" s="23" t="n">
        <f aca="false">問題一覧!A70</f>
        <v>69</v>
      </c>
      <c r="B70" s="23" t="str">
        <f aca="false">問題一覧!B70</f>
        <v>呼吸・人工呼吸</v>
      </c>
      <c r="C70" s="7" t="str">
        <f aca="false">問題一覧!D70</f>
        <v>術中の気管支痙攣への対応は。</v>
      </c>
      <c r="D70" s="23" t="str">
        <f aca="false">問題一覧!G70&amp;"個"</f>
        <v>3個</v>
      </c>
      <c r="E70" s="7"/>
      <c r="F70" s="23"/>
    </row>
    <row r="71" customFormat="false" ht="33.75" hidden="false" customHeight="true" outlineLevel="0" collapsed="false">
      <c r="A71" s="23" t="n">
        <f aca="false">問題一覧!A71</f>
        <v>70</v>
      </c>
      <c r="B71" s="23" t="str">
        <f aca="false">問題一覧!B71</f>
        <v>呼吸・人工呼吸</v>
      </c>
      <c r="C71" s="7" t="str">
        <f aca="false">問題一覧!D71</f>
        <v>肺保護換気の基本設定は。</v>
      </c>
      <c r="D71" s="23" t="str">
        <f aca="false">問題一覧!G71&amp;"個"</f>
        <v>3個</v>
      </c>
      <c r="E71" s="7"/>
      <c r="F71" s="23"/>
    </row>
    <row r="72" customFormat="false" ht="33.75" hidden="false" customHeight="true" outlineLevel="0" collapsed="false">
      <c r="A72" s="23" t="n">
        <f aca="false">問題一覧!A72</f>
        <v>71</v>
      </c>
      <c r="B72" s="23" t="str">
        <f aca="false">問題一覧!B72</f>
        <v>呼吸・人工呼吸</v>
      </c>
      <c r="C72" s="7" t="str">
        <f aca="false">問題一覧!D72</f>
        <v>PEEPをかける意義と弊害は。</v>
      </c>
      <c r="D72" s="23" t="str">
        <f aca="false">問題一覧!G72&amp;"個"</f>
        <v>2個</v>
      </c>
      <c r="E72" s="7"/>
      <c r="F72" s="23"/>
    </row>
    <row r="73" customFormat="false" ht="33.75" hidden="false" customHeight="true" outlineLevel="0" collapsed="false">
      <c r="A73" s="23" t="n">
        <f aca="false">問題一覧!A73</f>
        <v>72</v>
      </c>
      <c r="B73" s="23" t="str">
        <f aca="false">問題一覧!B73</f>
        <v>呼吸・人工呼吸</v>
      </c>
      <c r="C73" s="7" t="str">
        <f aca="false">問題一覧!D73</f>
        <v>リクルートメント手技の方法と注意点は。</v>
      </c>
      <c r="D73" s="23" t="str">
        <f aca="false">問題一覧!G73&amp;"個"</f>
        <v>3個</v>
      </c>
      <c r="E73" s="7"/>
      <c r="F73" s="23"/>
    </row>
    <row r="74" customFormat="false" ht="33.75" hidden="false" customHeight="true" outlineLevel="0" collapsed="false">
      <c r="A74" s="23" t="n">
        <f aca="false">問題一覧!A74</f>
        <v>73</v>
      </c>
      <c r="B74" s="23" t="str">
        <f aca="false">問題一覧!B74</f>
        <v>呼吸・人工呼吸</v>
      </c>
      <c r="C74" s="7" t="str">
        <f aca="false">問題一覧!D74</f>
        <v>PCVとVCVの使い分けは。</v>
      </c>
      <c r="D74" s="23" t="str">
        <f aca="false">問題一覧!G74&amp;"個"</f>
        <v>2個</v>
      </c>
      <c r="E74" s="7"/>
      <c r="F74" s="23"/>
    </row>
    <row r="75" customFormat="false" ht="33.75" hidden="false" customHeight="true" outlineLevel="0" collapsed="false">
      <c r="A75" s="23" t="n">
        <f aca="false">問題一覧!A75</f>
        <v>74</v>
      </c>
      <c r="B75" s="23" t="str">
        <f aca="false">問題一覧!B75</f>
        <v>呼吸・人工呼吸</v>
      </c>
      <c r="C75" s="7" t="str">
        <f aca="false">問題一覧!D75</f>
        <v>COPD患者の換気設定の要点は。</v>
      </c>
      <c r="D75" s="23" t="str">
        <f aca="false">問題一覧!G75&amp;"個"</f>
        <v>3個</v>
      </c>
      <c r="E75" s="7"/>
      <c r="F75" s="23"/>
    </row>
    <row r="76" customFormat="false" ht="33.75" hidden="false" customHeight="true" outlineLevel="0" collapsed="false">
      <c r="A76" s="23" t="n">
        <f aca="false">問題一覧!A76</f>
        <v>75</v>
      </c>
      <c r="B76" s="23" t="str">
        <f aca="false">問題一覧!B76</f>
        <v>呼吸・人工呼吸</v>
      </c>
      <c r="C76" s="7" t="str">
        <f aca="false">問題一覧!D76</f>
        <v>高CO2血症が身体に及ぼす影響は。</v>
      </c>
      <c r="D76" s="23" t="str">
        <f aca="false">問題一覧!G76&amp;"個"</f>
        <v>3個</v>
      </c>
      <c r="E76" s="7"/>
      <c r="F76" s="23"/>
    </row>
    <row r="77" customFormat="false" ht="33.75" hidden="false" customHeight="true" outlineLevel="0" collapsed="false">
      <c r="A77" s="23" t="n">
        <f aca="false">問題一覧!A77</f>
        <v>76</v>
      </c>
      <c r="B77" s="23" t="str">
        <f aca="false">問題一覧!B77</f>
        <v>呼吸・人工呼吸</v>
      </c>
      <c r="C77" s="7" t="str">
        <f aca="false">問題一覧!D77</f>
        <v>過換気の弊害は。</v>
      </c>
      <c r="D77" s="23" t="str">
        <f aca="false">問題一覧!G77&amp;"個"</f>
        <v>3個</v>
      </c>
      <c r="E77" s="7"/>
      <c r="F77" s="23"/>
    </row>
    <row r="78" customFormat="false" ht="33.75" hidden="false" customHeight="true" outlineLevel="0" collapsed="false">
      <c r="A78" s="23" t="n">
        <f aca="false">問題一覧!A78</f>
        <v>77</v>
      </c>
      <c r="B78" s="23" t="str">
        <f aca="false">問題一覧!B78</f>
        <v>呼吸・人工呼吸</v>
      </c>
      <c r="C78" s="7" t="str">
        <f aca="false">問題一覧!D78</f>
        <v>カプノグラムのベースラインが上昇しているときの原因は。</v>
      </c>
      <c r="D78" s="23" t="str">
        <f aca="false">問題一覧!G78&amp;"個"</f>
        <v>3個</v>
      </c>
      <c r="E78" s="7"/>
      <c r="F78" s="23"/>
    </row>
    <row r="79" customFormat="false" ht="33.75" hidden="false" customHeight="true" outlineLevel="0" collapsed="false">
      <c r="A79" s="23" t="n">
        <f aca="false">問題一覧!A79</f>
        <v>78</v>
      </c>
      <c r="B79" s="23" t="str">
        <f aca="false">問題一覧!B79</f>
        <v>呼吸・人工呼吸</v>
      </c>
      <c r="C79" s="7" t="str">
        <f aca="false">問題一覧!D79</f>
        <v>カプノグラムがシャークフィン型（上行脚がなだらか）になる原因は。</v>
      </c>
      <c r="D79" s="23" t="str">
        <f aca="false">問題一覧!G79&amp;"個"</f>
        <v>3個</v>
      </c>
      <c r="E79" s="7"/>
      <c r="F79" s="23"/>
    </row>
    <row r="80" customFormat="false" ht="33.75" hidden="false" customHeight="true" outlineLevel="0" collapsed="false">
      <c r="A80" s="23" t="n">
        <f aca="false">問題一覧!A80</f>
        <v>79</v>
      </c>
      <c r="B80" s="23" t="str">
        <f aca="false">問題一覧!B80</f>
        <v>呼吸・人工呼吸</v>
      </c>
      <c r="C80" s="7" t="str">
        <f aca="false">問題一覧!D80</f>
        <v>回路リークを疑うときの確認点は。</v>
      </c>
      <c r="D80" s="23" t="str">
        <f aca="false">問題一覧!G80&amp;"個"</f>
        <v>3個</v>
      </c>
      <c r="E80" s="7"/>
      <c r="F80" s="23"/>
    </row>
    <row r="81" customFormat="false" ht="33.75" hidden="false" customHeight="true" outlineLevel="0" collapsed="false">
      <c r="A81" s="23" t="n">
        <f aca="false">問題一覧!A81</f>
        <v>80</v>
      </c>
      <c r="B81" s="23" t="str">
        <f aca="false">問題一覧!B81</f>
        <v>呼吸・人工呼吸</v>
      </c>
      <c r="C81" s="7" t="str">
        <f aca="false">問題一覧!D81</f>
        <v>術後呼吸器合併症のリスク因子は。</v>
      </c>
      <c r="D81" s="23" t="str">
        <f aca="false">問題一覧!G81&amp;"個"</f>
        <v>3個</v>
      </c>
      <c r="E81" s="7"/>
      <c r="F81" s="23"/>
    </row>
    <row r="82" customFormat="false" ht="33.75" hidden="false" customHeight="true" outlineLevel="0" collapsed="false">
      <c r="A82" s="23" t="n">
        <f aca="false">問題一覧!A82</f>
        <v>81</v>
      </c>
      <c r="B82" s="23" t="str">
        <f aca="false">問題一覧!B82</f>
        <v>併存症</v>
      </c>
      <c r="C82" s="7" t="str">
        <f aca="false">問題一覧!D82</f>
        <v>高血圧患者で術前に継続・中止する降圧薬は。</v>
      </c>
      <c r="D82" s="23" t="str">
        <f aca="false">問題一覧!G82&amp;"個"</f>
        <v>3個</v>
      </c>
      <c r="E82" s="7"/>
      <c r="F82" s="23"/>
    </row>
    <row r="83" customFormat="false" ht="33.75" hidden="false" customHeight="true" outlineLevel="0" collapsed="false">
      <c r="A83" s="23" t="n">
        <f aca="false">問題一覧!A83</f>
        <v>82</v>
      </c>
      <c r="B83" s="23" t="str">
        <f aca="false">問題一覧!B83</f>
        <v>併存症</v>
      </c>
      <c r="C83" s="7" t="str">
        <f aca="false">問題一覧!D83</f>
        <v>高血圧患者の術中管理の注意点は。</v>
      </c>
      <c r="D83" s="23" t="str">
        <f aca="false">問題一覧!G83&amp;"個"</f>
        <v>3個</v>
      </c>
      <c r="E83" s="7"/>
      <c r="F83" s="23"/>
    </row>
    <row r="84" customFormat="false" ht="33.75" hidden="false" customHeight="true" outlineLevel="0" collapsed="false">
      <c r="A84" s="23" t="n">
        <f aca="false">問題一覧!A84</f>
        <v>83</v>
      </c>
      <c r="B84" s="23" t="str">
        <f aca="false">問題一覧!B84</f>
        <v>併存症</v>
      </c>
      <c r="C84" s="7" t="str">
        <f aca="false">問題一覧!D84</f>
        <v>術中の心筋虚血を防ぐための管理は。</v>
      </c>
      <c r="D84" s="23" t="str">
        <f aca="false">問題一覧!G84&amp;"個"</f>
        <v>3個</v>
      </c>
      <c r="E84" s="7"/>
      <c r="F84" s="23"/>
    </row>
    <row r="85" customFormat="false" ht="33.75" hidden="false" customHeight="true" outlineLevel="0" collapsed="false">
      <c r="A85" s="23" t="n">
        <f aca="false">問題一覧!A85</f>
        <v>84</v>
      </c>
      <c r="B85" s="23" t="str">
        <f aca="false">問題一覧!B85</f>
        <v>併存症</v>
      </c>
      <c r="C85" s="7" t="str">
        <f aca="false">問題一覧!D85</f>
        <v>術中に心筋虚血（ST変化）を認めた。対応は。</v>
      </c>
      <c r="D85" s="23" t="str">
        <f aca="false">問題一覧!G85&amp;"個"</f>
        <v>3個</v>
      </c>
      <c r="E85" s="7"/>
      <c r="F85" s="23"/>
    </row>
    <row r="86" customFormat="false" ht="33.75" hidden="false" customHeight="true" outlineLevel="0" collapsed="false">
      <c r="A86" s="23" t="n">
        <f aca="false">問題一覧!A86</f>
        <v>85</v>
      </c>
      <c r="B86" s="23" t="str">
        <f aca="false">問題一覧!B86</f>
        <v>併存症</v>
      </c>
      <c r="C86" s="7" t="str">
        <f aca="false">問題一覧!D86</f>
        <v>ステント留置後の抗血小板薬の周術期管理は。</v>
      </c>
      <c r="D86" s="23" t="str">
        <f aca="false">問題一覧!G86&amp;"個"</f>
        <v>3個</v>
      </c>
      <c r="E86" s="7"/>
      <c r="F86" s="23"/>
    </row>
    <row r="87" customFormat="false" ht="33.75" hidden="false" customHeight="true" outlineLevel="0" collapsed="false">
      <c r="A87" s="23" t="n">
        <f aca="false">問題一覧!A87</f>
        <v>86</v>
      </c>
      <c r="B87" s="23" t="str">
        <f aca="false">問題一覧!B87</f>
        <v>併存症</v>
      </c>
      <c r="C87" s="7" t="str">
        <f aca="false">問題一覧!D87</f>
        <v>低心機能（低EF）患者の麻酔の要点は。</v>
      </c>
      <c r="D87" s="23" t="str">
        <f aca="false">問題一覧!G87&amp;"個"</f>
        <v>3個</v>
      </c>
      <c r="E87" s="7"/>
      <c r="F87" s="23"/>
    </row>
    <row r="88" customFormat="false" ht="33.75" hidden="false" customHeight="true" outlineLevel="0" collapsed="false">
      <c r="A88" s="23" t="n">
        <f aca="false">問題一覧!A88</f>
        <v>87</v>
      </c>
      <c r="B88" s="23" t="str">
        <f aca="false">問題一覧!B88</f>
        <v>併存症</v>
      </c>
      <c r="C88" s="7" t="str">
        <f aca="false">問題一覧!D88</f>
        <v>大動脈弁狭窄症（AS）の管理原則は。</v>
      </c>
      <c r="D88" s="23" t="str">
        <f aca="false">問題一覧!G88&amp;"個"</f>
        <v>3個</v>
      </c>
      <c r="E88" s="7"/>
      <c r="F88" s="23"/>
    </row>
    <row r="89" customFormat="false" ht="33.75" hidden="false" customHeight="true" outlineLevel="0" collapsed="false">
      <c r="A89" s="23" t="n">
        <f aca="false">問題一覧!A89</f>
        <v>88</v>
      </c>
      <c r="B89" s="23" t="str">
        <f aca="false">問題一覧!B89</f>
        <v>併存症</v>
      </c>
      <c r="C89" s="7" t="str">
        <f aca="false">問題一覧!D89</f>
        <v>僧帽弁閉鎖不全症（MR）の管理原則は。</v>
      </c>
      <c r="D89" s="23" t="str">
        <f aca="false">問題一覧!G89&amp;"個"</f>
        <v>3個</v>
      </c>
      <c r="E89" s="7"/>
      <c r="F89" s="23"/>
    </row>
    <row r="90" customFormat="false" ht="33.75" hidden="false" customHeight="true" outlineLevel="0" collapsed="false">
      <c r="A90" s="23" t="n">
        <f aca="false">問題一覧!A90</f>
        <v>89</v>
      </c>
      <c r="B90" s="23" t="str">
        <f aca="false">問題一覧!B90</f>
        <v>併存症</v>
      </c>
      <c r="C90" s="7" t="str">
        <f aca="false">問題一覧!D90</f>
        <v>術中の心房細動への対応は。</v>
      </c>
      <c r="D90" s="23" t="str">
        <f aca="false">問題一覧!G90&amp;"個"</f>
        <v>3個</v>
      </c>
      <c r="E90" s="7"/>
      <c r="F90" s="23"/>
    </row>
    <row r="91" customFormat="false" ht="33.75" hidden="false" customHeight="true" outlineLevel="0" collapsed="false">
      <c r="A91" s="23" t="n">
        <f aca="false">問題一覧!A91</f>
        <v>90</v>
      </c>
      <c r="B91" s="23" t="str">
        <f aca="false">問題一覧!B91</f>
        <v>併存症</v>
      </c>
      <c r="C91" s="7" t="str">
        <f aca="false">問題一覧!D91</f>
        <v>ペースメーカー・ICD植込み患者の周術期管理は。</v>
      </c>
      <c r="D91" s="23" t="str">
        <f aca="false">問題一覧!G91&amp;"個"</f>
        <v>3個</v>
      </c>
      <c r="E91" s="7"/>
      <c r="F91" s="23"/>
    </row>
    <row r="92" customFormat="false" ht="33.75" hidden="false" customHeight="true" outlineLevel="0" collapsed="false">
      <c r="A92" s="23" t="n">
        <f aca="false">問題一覧!A92</f>
        <v>91</v>
      </c>
      <c r="B92" s="23" t="str">
        <f aca="false">問題一覧!B92</f>
        <v>併存症</v>
      </c>
      <c r="C92" s="7" t="str">
        <f aca="false">問題一覧!D92</f>
        <v>COPD患者の周術期の注意点は。</v>
      </c>
      <c r="D92" s="23" t="str">
        <f aca="false">問題一覧!G92&amp;"個"</f>
        <v>3個</v>
      </c>
      <c r="E92" s="7"/>
      <c r="F92" s="23"/>
    </row>
    <row r="93" customFormat="false" ht="33.75" hidden="false" customHeight="true" outlineLevel="0" collapsed="false">
      <c r="A93" s="23" t="n">
        <f aca="false">問題一覧!A93</f>
        <v>92</v>
      </c>
      <c r="B93" s="23" t="str">
        <f aca="false">問題一覧!B93</f>
        <v>併存症</v>
      </c>
      <c r="C93" s="7" t="str">
        <f aca="false">問題一覧!D93</f>
        <v>喘息患者の気管支痙攣を予防する工夫は。</v>
      </c>
      <c r="D93" s="23" t="str">
        <f aca="false">問題一覧!G93&amp;"個"</f>
        <v>3個</v>
      </c>
      <c r="E93" s="7"/>
      <c r="F93" s="23"/>
    </row>
    <row r="94" customFormat="false" ht="33.75" hidden="false" customHeight="true" outlineLevel="0" collapsed="false">
      <c r="A94" s="23" t="n">
        <f aca="false">問題一覧!A94</f>
        <v>93</v>
      </c>
      <c r="B94" s="23" t="str">
        <f aca="false">問題一覧!B94</f>
        <v>併存症</v>
      </c>
      <c r="C94" s="7" t="str">
        <f aca="false">問題一覧!D94</f>
        <v>睡眠時無呼吸（OSA）患者の注意点は。</v>
      </c>
      <c r="D94" s="23" t="str">
        <f aca="false">問題一覧!G94&amp;"個"</f>
        <v>3個</v>
      </c>
      <c r="E94" s="7"/>
      <c r="F94" s="23"/>
    </row>
    <row r="95" customFormat="false" ht="33.75" hidden="false" customHeight="true" outlineLevel="0" collapsed="false">
      <c r="A95" s="23" t="n">
        <f aca="false">問題一覧!A95</f>
        <v>94</v>
      </c>
      <c r="B95" s="23" t="str">
        <f aca="false">問題一覧!B95</f>
        <v>併存症</v>
      </c>
      <c r="C95" s="7" t="str">
        <f aca="false">問題一覧!D95</f>
        <v>肥満患者の麻酔の注意点は。</v>
      </c>
      <c r="D95" s="23" t="str">
        <f aca="false">問題一覧!G95&amp;"個"</f>
        <v>3個</v>
      </c>
      <c r="E95" s="7"/>
      <c r="F95" s="23"/>
    </row>
    <row r="96" customFormat="false" ht="33.75" hidden="false" customHeight="true" outlineLevel="0" collapsed="false">
      <c r="A96" s="23" t="n">
        <f aca="false">問題一覧!A96</f>
        <v>95</v>
      </c>
      <c r="B96" s="23" t="str">
        <f aca="false">問題一覧!B96</f>
        <v>併存症</v>
      </c>
      <c r="C96" s="7" t="str">
        <f aca="false">問題一覧!D96</f>
        <v>糖尿病患者の術中血糖管理は。</v>
      </c>
      <c r="D96" s="23" t="str">
        <f aca="false">問題一覧!G96&amp;"個"</f>
        <v>3個</v>
      </c>
      <c r="E96" s="7"/>
      <c r="F96" s="23"/>
    </row>
    <row r="97" customFormat="false" ht="33.75" hidden="false" customHeight="true" outlineLevel="0" collapsed="false">
      <c r="A97" s="23" t="n">
        <f aca="false">問題一覧!A97</f>
        <v>96</v>
      </c>
      <c r="B97" s="23" t="str">
        <f aca="false">問題一覧!B97</f>
        <v>併存症</v>
      </c>
      <c r="C97" s="7" t="str">
        <f aca="false">問題一覧!D97</f>
        <v>糖尿病患者に特有の周術期リスクは。</v>
      </c>
      <c r="D97" s="23" t="str">
        <f aca="false">問題一覧!G97&amp;"個"</f>
        <v>3個</v>
      </c>
      <c r="E97" s="7"/>
      <c r="F97" s="23"/>
    </row>
    <row r="98" customFormat="false" ht="33.75" hidden="false" customHeight="true" outlineLevel="0" collapsed="false">
      <c r="A98" s="23" t="n">
        <f aca="false">問題一覧!A98</f>
        <v>97</v>
      </c>
      <c r="B98" s="23" t="str">
        <f aca="false">問題一覧!B98</f>
        <v>併存症</v>
      </c>
      <c r="C98" s="7" t="str">
        <f aca="false">問題一覧!D98</f>
        <v>透析患者の周術期管理の注意点は。</v>
      </c>
      <c r="D98" s="23" t="str">
        <f aca="false">問題一覧!G98&amp;"個"</f>
        <v>3個</v>
      </c>
      <c r="E98" s="7"/>
      <c r="F98" s="23"/>
    </row>
    <row r="99" customFormat="false" ht="33.75" hidden="false" customHeight="true" outlineLevel="0" collapsed="false">
      <c r="A99" s="23" t="n">
        <f aca="false">問題一覧!A99</f>
        <v>98</v>
      </c>
      <c r="B99" s="23" t="str">
        <f aca="false">問題一覧!B99</f>
        <v>併存症</v>
      </c>
      <c r="C99" s="7" t="str">
        <f aca="false">問題一覧!D99</f>
        <v>肝硬変患者の麻酔の注意点は。</v>
      </c>
      <c r="D99" s="23" t="str">
        <f aca="false">問題一覧!G99&amp;"個"</f>
        <v>3個</v>
      </c>
      <c r="E99" s="7"/>
      <c r="F99" s="23"/>
    </row>
    <row r="100" customFormat="false" ht="33.75" hidden="false" customHeight="true" outlineLevel="0" collapsed="false">
      <c r="A100" s="23" t="n">
        <f aca="false">問題一覧!A100</f>
        <v>99</v>
      </c>
      <c r="B100" s="23" t="str">
        <f aca="false">問題一覧!B100</f>
        <v>併存症</v>
      </c>
      <c r="C100" s="7" t="str">
        <f aca="false">問題一覧!D100</f>
        <v>甲状腺機能亢進症の周術期の注意点は。</v>
      </c>
      <c r="D100" s="23" t="str">
        <f aca="false">問題一覧!G100&amp;"個"</f>
        <v>3個</v>
      </c>
      <c r="E100" s="7"/>
      <c r="F100" s="23"/>
    </row>
    <row r="101" customFormat="false" ht="33.75" hidden="false" customHeight="true" outlineLevel="0" collapsed="false">
      <c r="A101" s="23" t="n">
        <f aca="false">問題一覧!A101</f>
        <v>100</v>
      </c>
      <c r="B101" s="23" t="str">
        <f aca="false">問題一覧!B101</f>
        <v>併存症</v>
      </c>
      <c r="C101" s="7" t="str">
        <f aca="false">問題一覧!D101</f>
        <v>甲状腺機能低下症の周術期の注意点は。</v>
      </c>
      <c r="D101" s="23" t="str">
        <f aca="false">問題一覧!G101&amp;"個"</f>
        <v>3個</v>
      </c>
      <c r="E101" s="7"/>
      <c r="F101" s="23"/>
    </row>
    <row r="102" customFormat="false" ht="33.75" hidden="false" customHeight="true" outlineLevel="0" collapsed="false">
      <c r="A102" s="23" t="n">
        <f aca="false">問題一覧!A102</f>
        <v>101</v>
      </c>
      <c r="B102" s="23" t="str">
        <f aca="false">問題一覧!B102</f>
        <v>併存症</v>
      </c>
      <c r="C102" s="7" t="str">
        <f aca="false">問題一覧!D102</f>
        <v>ステロイド長期内服患者の周術期対応は。</v>
      </c>
      <c r="D102" s="23" t="str">
        <f aca="false">問題一覧!G102&amp;"個"</f>
        <v>3個</v>
      </c>
      <c r="E102" s="7"/>
      <c r="F102" s="23"/>
    </row>
    <row r="103" customFormat="false" ht="33.75" hidden="false" customHeight="true" outlineLevel="0" collapsed="false">
      <c r="A103" s="23" t="n">
        <f aca="false">問題一覧!A103</f>
        <v>102</v>
      </c>
      <c r="B103" s="23" t="str">
        <f aca="false">問題一覧!B103</f>
        <v>併存症</v>
      </c>
      <c r="C103" s="7" t="str">
        <f aca="false">問題一覧!D103</f>
        <v>褐色細胞腫の周術期管理は。</v>
      </c>
      <c r="D103" s="23" t="str">
        <f aca="false">問題一覧!G103&amp;"個"</f>
        <v>3個</v>
      </c>
      <c r="E103" s="7"/>
      <c r="F103" s="23"/>
    </row>
    <row r="104" customFormat="false" ht="33.75" hidden="false" customHeight="true" outlineLevel="0" collapsed="false">
      <c r="A104" s="23" t="n">
        <f aca="false">問題一覧!A104</f>
        <v>103</v>
      </c>
      <c r="B104" s="23" t="str">
        <f aca="false">問題一覧!B104</f>
        <v>併存症</v>
      </c>
      <c r="C104" s="7" t="str">
        <f aca="false">問題一覧!D104</f>
        <v>脳梗塞の既往がある患者の術中管理は。</v>
      </c>
      <c r="D104" s="23" t="str">
        <f aca="false">問題一覧!G104&amp;"個"</f>
        <v>3個</v>
      </c>
      <c r="E104" s="7"/>
      <c r="F104" s="23"/>
    </row>
    <row r="105" customFormat="false" ht="33.75" hidden="false" customHeight="true" outlineLevel="0" collapsed="false">
      <c r="A105" s="23" t="n">
        <f aca="false">問題一覧!A105</f>
        <v>104</v>
      </c>
      <c r="B105" s="23" t="str">
        <f aca="false">問題一覧!B105</f>
        <v>併存症</v>
      </c>
      <c r="C105" s="7" t="str">
        <f aca="false">問題一覧!D105</f>
        <v>てんかん患者の周術期の注意点は。</v>
      </c>
      <c r="D105" s="23" t="str">
        <f aca="false">問題一覧!G105&amp;"個"</f>
        <v>3個</v>
      </c>
      <c r="E105" s="7"/>
      <c r="F105" s="23"/>
    </row>
    <row r="106" customFormat="false" ht="33.75" hidden="false" customHeight="true" outlineLevel="0" collapsed="false">
      <c r="A106" s="23" t="n">
        <f aca="false">問題一覧!A106</f>
        <v>105</v>
      </c>
      <c r="B106" s="23" t="str">
        <f aca="false">問題一覧!B106</f>
        <v>併存症</v>
      </c>
      <c r="C106" s="7" t="str">
        <f aca="false">問題一覧!D106</f>
        <v>パーキンソン病患者の注意点は。</v>
      </c>
      <c r="D106" s="23" t="str">
        <f aca="false">問題一覧!G106&amp;"個"</f>
        <v>3個</v>
      </c>
      <c r="E106" s="7"/>
      <c r="F106" s="23"/>
    </row>
    <row r="107" customFormat="false" ht="33.75" hidden="false" customHeight="true" outlineLevel="0" collapsed="false">
      <c r="A107" s="23" t="n">
        <f aca="false">問題一覧!A107</f>
        <v>106</v>
      </c>
      <c r="B107" s="23" t="str">
        <f aca="false">問題一覧!B107</f>
        <v>併存症</v>
      </c>
      <c r="C107" s="7" t="str">
        <f aca="false">問題一覧!D107</f>
        <v>重症筋無力症の患者の麻酔の注意点は。</v>
      </c>
      <c r="D107" s="23" t="str">
        <f aca="false">問題一覧!G107&amp;"個"</f>
        <v>3個</v>
      </c>
      <c r="E107" s="7"/>
      <c r="F107" s="23"/>
    </row>
    <row r="108" customFormat="false" ht="33.75" hidden="false" customHeight="true" outlineLevel="0" collapsed="false">
      <c r="A108" s="23" t="n">
        <f aca="false">問題一覧!A108</f>
        <v>107</v>
      </c>
      <c r="B108" s="23" t="str">
        <f aca="false">問題一覧!B108</f>
        <v>併存症</v>
      </c>
      <c r="C108" s="7" t="str">
        <f aca="false">問題一覧!D108</f>
        <v>関節リウマチ患者の気道管理の注意点は。</v>
      </c>
      <c r="D108" s="23" t="str">
        <f aca="false">問題一覧!G108&amp;"個"</f>
        <v>3個</v>
      </c>
      <c r="E108" s="7"/>
      <c r="F108" s="23"/>
    </row>
    <row r="109" customFormat="false" ht="33.75" hidden="false" customHeight="true" outlineLevel="0" collapsed="false">
      <c r="A109" s="23" t="n">
        <f aca="false">問題一覧!A109</f>
        <v>108</v>
      </c>
      <c r="B109" s="23" t="str">
        <f aca="false">問題一覧!B109</f>
        <v>併存症</v>
      </c>
      <c r="C109" s="7" t="str">
        <f aca="false">問題一覧!D109</f>
        <v>高齢者の麻酔で注意することは。</v>
      </c>
      <c r="D109" s="23" t="str">
        <f aca="false">問題一覧!G109&amp;"個"</f>
        <v>3個</v>
      </c>
      <c r="E109" s="7"/>
      <c r="F109" s="23"/>
    </row>
    <row r="110" customFormat="false" ht="33.75" hidden="false" customHeight="true" outlineLevel="0" collapsed="false">
      <c r="A110" s="23" t="n">
        <f aca="false">問題一覧!A110</f>
        <v>109</v>
      </c>
      <c r="B110" s="23" t="str">
        <f aca="false">問題一覧!B110</f>
        <v>併存症</v>
      </c>
      <c r="C110" s="7" t="str">
        <f aca="false">問題一覧!D110</f>
        <v>認知症患者の周術期の注意点は。</v>
      </c>
      <c r="D110" s="23" t="str">
        <f aca="false">問題一覧!G110&amp;"個"</f>
        <v>3個</v>
      </c>
      <c r="E110" s="7"/>
      <c r="F110" s="23"/>
    </row>
    <row r="111" customFormat="false" ht="33.75" hidden="false" customHeight="true" outlineLevel="0" collapsed="false">
      <c r="A111" s="23" t="n">
        <f aca="false">問題一覧!A111</f>
        <v>110</v>
      </c>
      <c r="B111" s="23" t="str">
        <f aca="false">問題一覧!B111</f>
        <v>併存症</v>
      </c>
      <c r="C111" s="7" t="str">
        <f aca="false">問題一覧!D111</f>
        <v>術前貧血への対応と術中の注意点は。</v>
      </c>
      <c r="D111" s="23" t="str">
        <f aca="false">問題一覧!G111&amp;"個"</f>
        <v>3個</v>
      </c>
      <c r="E111" s="7"/>
      <c r="F111" s="23"/>
    </row>
    <row r="112" customFormat="false" ht="33.75" hidden="false" customHeight="true" outlineLevel="0" collapsed="false">
      <c r="A112" s="23" t="n">
        <f aca="false">問題一覧!A112</f>
        <v>111</v>
      </c>
      <c r="B112" s="23" t="str">
        <f aca="false">問題一覧!B112</f>
        <v>併存症</v>
      </c>
      <c r="C112" s="7" t="str">
        <f aca="false">問題一覧!D112</f>
        <v>ワルファリン・DOACの周術期の休薬は。</v>
      </c>
      <c r="D112" s="23" t="str">
        <f aca="false">問題一覧!G112&amp;"個"</f>
        <v>3個</v>
      </c>
      <c r="E112" s="7"/>
      <c r="F112" s="23"/>
    </row>
    <row r="113" customFormat="false" ht="33.75" hidden="false" customHeight="true" outlineLevel="0" collapsed="false">
      <c r="A113" s="23" t="n">
        <f aca="false">問題一覧!A113</f>
        <v>112</v>
      </c>
      <c r="B113" s="23" t="str">
        <f aca="false">問題一覧!B113</f>
        <v>併存症</v>
      </c>
      <c r="C113" s="7" t="str">
        <f aca="false">問題一覧!D113</f>
        <v>妊婦の非産科手術の注意点は。</v>
      </c>
      <c r="D113" s="23" t="str">
        <f aca="false">問題一覧!G113&amp;"個"</f>
        <v>3個</v>
      </c>
      <c r="E113" s="7"/>
      <c r="F113" s="23"/>
    </row>
    <row r="114" customFormat="false" ht="33.75" hidden="false" customHeight="true" outlineLevel="0" collapsed="false">
      <c r="A114" s="23" t="n">
        <f aca="false">問題一覧!A114</f>
        <v>113</v>
      </c>
      <c r="B114" s="23" t="str">
        <f aca="false">問題一覧!B114</f>
        <v>併存症</v>
      </c>
      <c r="C114" s="7" t="str">
        <f aca="false">問題一覧!D114</f>
        <v>小児麻酔の注意点は。</v>
      </c>
      <c r="D114" s="23" t="str">
        <f aca="false">問題一覧!G114&amp;"個"</f>
        <v>3個</v>
      </c>
      <c r="E114" s="7"/>
      <c r="F114" s="23"/>
    </row>
    <row r="115" customFormat="false" ht="33.75" hidden="false" customHeight="true" outlineLevel="0" collapsed="false">
      <c r="A115" s="23" t="n">
        <f aca="false">問題一覧!A115</f>
        <v>114</v>
      </c>
      <c r="B115" s="23" t="str">
        <f aca="false">問題一覧!B115</f>
        <v>併存症</v>
      </c>
      <c r="C115" s="7" t="str">
        <f aca="false">問題一覧!D115</f>
        <v>誤嚥のリスクが高い患者と対策は。</v>
      </c>
      <c r="D115" s="23" t="str">
        <f aca="false">問題一覧!G115&amp;"個"</f>
        <v>3個</v>
      </c>
      <c r="E115" s="7"/>
      <c r="F115" s="23"/>
    </row>
    <row r="116" customFormat="false" ht="33.75" hidden="false" customHeight="true" outlineLevel="0" collapsed="false">
      <c r="A116" s="23" t="n">
        <f aca="false">問題一覧!A116</f>
        <v>115</v>
      </c>
      <c r="B116" s="23" t="str">
        <f aca="false">問題一覧!B116</f>
        <v>併存症</v>
      </c>
      <c r="C116" s="7" t="str">
        <f aca="false">問題一覧!D116</f>
        <v>アルコール多飲者の周術期の注意点は。</v>
      </c>
      <c r="D116" s="23" t="str">
        <f aca="false">問題一覧!G116&amp;"個"</f>
        <v>3個</v>
      </c>
      <c r="E116" s="7"/>
      <c r="F116" s="23"/>
    </row>
    <row r="117" customFormat="false" ht="33.75" hidden="false" customHeight="true" outlineLevel="0" collapsed="false">
      <c r="A117" s="23" t="n">
        <f aca="false">問題一覧!A117</f>
        <v>116</v>
      </c>
      <c r="B117" s="23" t="str">
        <f aca="false">問題一覧!B117</f>
        <v>併存症</v>
      </c>
      <c r="C117" s="7" t="str">
        <f aca="false">問題一覧!D117</f>
        <v>喫煙者の周術期リスクと禁煙の目安は。</v>
      </c>
      <c r="D117" s="23" t="str">
        <f aca="false">問題一覧!G117&amp;"個"</f>
        <v>3個</v>
      </c>
      <c r="E117" s="7"/>
      <c r="F117" s="23"/>
    </row>
    <row r="118" customFormat="false" ht="33.75" hidden="false" customHeight="true" outlineLevel="0" collapsed="false">
      <c r="A118" s="23" t="n">
        <f aca="false">問題一覧!A118</f>
        <v>117</v>
      </c>
      <c r="B118" s="23" t="str">
        <f aca="false">問題一覧!B118</f>
        <v>併存症</v>
      </c>
      <c r="C118" s="7" t="str">
        <f aca="false">問題一覧!D118</f>
        <v>悪性高熱素因のある患者の麻酔準備は。</v>
      </c>
      <c r="D118" s="23" t="str">
        <f aca="false">問題一覧!G118&amp;"個"</f>
        <v>3個</v>
      </c>
      <c r="E118" s="7"/>
      <c r="F118" s="23"/>
    </row>
    <row r="119" customFormat="false" ht="33.75" hidden="false" customHeight="true" outlineLevel="0" collapsed="false">
      <c r="A119" s="23" t="n">
        <f aca="false">問題一覧!A119</f>
        <v>118</v>
      </c>
      <c r="B119" s="23" t="str">
        <f aca="false">問題一覧!B119</f>
        <v>併存症</v>
      </c>
      <c r="C119" s="7" t="str">
        <f aca="false">問題一覧!D119</f>
        <v>周術期アナフィラキシーの原因薬として多いものは。</v>
      </c>
      <c r="D119" s="23" t="str">
        <f aca="false">問題一覧!G119&amp;"個"</f>
        <v>3個</v>
      </c>
      <c r="E119" s="7"/>
      <c r="F119" s="23"/>
    </row>
    <row r="120" customFormat="false" ht="33.75" hidden="false" customHeight="true" outlineLevel="0" collapsed="false">
      <c r="A120" s="23" t="n">
        <f aca="false">問題一覧!A120</f>
        <v>119</v>
      </c>
      <c r="B120" s="23" t="str">
        <f aca="false">問題一覧!B120</f>
        <v>併存症</v>
      </c>
      <c r="C120" s="7" t="str">
        <f aca="false">問題一覧!D120</f>
        <v>筋ジストロフィーなど筋疾患患者の注意点は。</v>
      </c>
      <c r="D120" s="23" t="str">
        <f aca="false">問題一覧!G120&amp;"個"</f>
        <v>3個</v>
      </c>
      <c r="E120" s="7"/>
      <c r="F120" s="23"/>
    </row>
    <row r="121" customFormat="false" ht="33.75" hidden="false" customHeight="true" outlineLevel="0" collapsed="false">
      <c r="A121" s="23" t="n">
        <f aca="false">問題一覧!A121</f>
        <v>120</v>
      </c>
      <c r="B121" s="23" t="str">
        <f aca="false">問題一覧!B121</f>
        <v>術式別</v>
      </c>
      <c r="C121" s="7" t="str">
        <f aca="false">問題一覧!D121</f>
        <v>気腹によって起こる生理学的変化は。</v>
      </c>
      <c r="D121" s="23" t="str">
        <f aca="false">問題一覧!G121&amp;"個"</f>
        <v>3個</v>
      </c>
      <c r="E121" s="7"/>
      <c r="F121" s="23"/>
    </row>
    <row r="122" customFormat="false" ht="33.75" hidden="false" customHeight="true" outlineLevel="0" collapsed="false">
      <c r="A122" s="23" t="n">
        <f aca="false">問題一覧!A122</f>
        <v>121</v>
      </c>
      <c r="B122" s="23" t="str">
        <f aca="false">問題一覧!B122</f>
        <v>術式別</v>
      </c>
      <c r="C122" s="7" t="str">
        <f aca="false">問題一覧!D122</f>
        <v>腹腔鏡手術で起こりやすいアクシデントは。</v>
      </c>
      <c r="D122" s="23" t="str">
        <f aca="false">問題一覧!G122&amp;"個"</f>
        <v>3個</v>
      </c>
      <c r="E122" s="7"/>
      <c r="F122" s="23"/>
    </row>
    <row r="123" customFormat="false" ht="33.75" hidden="false" customHeight="true" outlineLevel="0" collapsed="false">
      <c r="A123" s="23" t="n">
        <f aca="false">問題一覧!A123</f>
        <v>122</v>
      </c>
      <c r="B123" s="23" t="str">
        <f aca="false">問題一覧!B123</f>
        <v>術式別</v>
      </c>
      <c r="C123" s="7" t="str">
        <f aca="false">問題一覧!D123</f>
        <v>術中にCO2塞栓を疑う所見と対応は。</v>
      </c>
      <c r="D123" s="23" t="str">
        <f aca="false">問題一覧!G123&amp;"個"</f>
        <v>3個</v>
      </c>
      <c r="E123" s="7"/>
      <c r="F123" s="23"/>
    </row>
    <row r="124" customFormat="false" ht="33.75" hidden="false" customHeight="true" outlineLevel="0" collapsed="false">
      <c r="A124" s="23" t="n">
        <f aca="false">問題一覧!A124</f>
        <v>123</v>
      </c>
      <c r="B124" s="23" t="str">
        <f aca="false">問題一覧!B124</f>
        <v>術式別</v>
      </c>
      <c r="C124" s="7" t="str">
        <f aca="false">問題一覧!D124</f>
        <v>強い頭低位（ロボット支援前立腺全摘など）の注意点は。</v>
      </c>
      <c r="D124" s="23" t="str">
        <f aca="false">問題一覧!G124&amp;"個"</f>
        <v>3個</v>
      </c>
      <c r="E124" s="7"/>
      <c r="F124" s="23"/>
    </row>
    <row r="125" customFormat="false" ht="33.75" hidden="false" customHeight="true" outlineLevel="0" collapsed="false">
      <c r="A125" s="23" t="n">
        <f aca="false">問題一覧!A125</f>
        <v>124</v>
      </c>
      <c r="B125" s="23" t="str">
        <f aca="false">問題一覧!B125</f>
        <v>術式別</v>
      </c>
      <c r="C125" s="7" t="str">
        <f aca="false">問題一覧!D125</f>
        <v>分離肺換気中にSpO2が低下した。対応は。</v>
      </c>
      <c r="D125" s="23" t="str">
        <f aca="false">問題一覧!G125&amp;"個"</f>
        <v>3個</v>
      </c>
      <c r="E125" s="7"/>
      <c r="F125" s="23"/>
    </row>
    <row r="126" customFormat="false" ht="33.75" hidden="false" customHeight="true" outlineLevel="0" collapsed="false">
      <c r="A126" s="23" t="n">
        <f aca="false">問題一覧!A126</f>
        <v>125</v>
      </c>
      <c r="B126" s="23" t="str">
        <f aca="false">問題一覧!B126</f>
        <v>術式別</v>
      </c>
      <c r="C126" s="7" t="str">
        <f aca="false">問題一覧!D126</f>
        <v>肺切除術の周術期の注意点は。</v>
      </c>
      <c r="D126" s="23" t="str">
        <f aca="false">問題一覧!G126&amp;"個"</f>
        <v>3個</v>
      </c>
      <c r="E126" s="7"/>
      <c r="F126" s="23"/>
    </row>
    <row r="127" customFormat="false" ht="33.75" hidden="false" customHeight="true" outlineLevel="0" collapsed="false">
      <c r="A127" s="23" t="n">
        <f aca="false">問題一覧!A127</f>
        <v>126</v>
      </c>
      <c r="B127" s="23" t="str">
        <f aca="false">問題一覧!B127</f>
        <v>術式別</v>
      </c>
      <c r="C127" s="7" t="str">
        <f aca="false">問題一覧!D127</f>
        <v>人工心肺を用いる手術で麻酔科が管理する要素は。</v>
      </c>
      <c r="D127" s="23" t="str">
        <f aca="false">問題一覧!G127&amp;"個"</f>
        <v>3個</v>
      </c>
      <c r="E127" s="7"/>
      <c r="F127" s="23"/>
    </row>
    <row r="128" customFormat="false" ht="33.75" hidden="false" customHeight="true" outlineLevel="0" collapsed="false">
      <c r="A128" s="23" t="n">
        <f aca="false">問題一覧!A128</f>
        <v>127</v>
      </c>
      <c r="B128" s="23" t="str">
        <f aca="false">問題一覧!B128</f>
        <v>術式別</v>
      </c>
      <c r="C128" s="7" t="str">
        <f aca="false">問題一覧!D128</f>
        <v>頸動脈内膜剥離術（CEA）の管理の要点は。</v>
      </c>
      <c r="D128" s="23" t="str">
        <f aca="false">問題一覧!G128&amp;"個"</f>
        <v>3個</v>
      </c>
      <c r="E128" s="7"/>
      <c r="F128" s="23"/>
    </row>
    <row r="129" customFormat="false" ht="33.75" hidden="false" customHeight="true" outlineLevel="0" collapsed="false">
      <c r="A129" s="23" t="n">
        <f aca="false">問題一覧!A129</f>
        <v>128</v>
      </c>
      <c r="B129" s="23" t="str">
        <f aca="false">問題一覧!B129</f>
        <v>術式別</v>
      </c>
      <c r="C129" s="7" t="str">
        <f aca="false">問題一覧!D129</f>
        <v>開頭術の麻酔管理の要点は。</v>
      </c>
      <c r="D129" s="23" t="str">
        <f aca="false">問題一覧!G129&amp;"個"</f>
        <v>3個</v>
      </c>
      <c r="E129" s="7"/>
      <c r="F129" s="23"/>
    </row>
    <row r="130" customFormat="false" ht="33.75" hidden="false" customHeight="true" outlineLevel="0" collapsed="false">
      <c r="A130" s="23" t="n">
        <f aca="false">問題一覧!A130</f>
        <v>129</v>
      </c>
      <c r="B130" s="23" t="str">
        <f aca="false">問題一覧!B130</f>
        <v>術式別</v>
      </c>
      <c r="C130" s="7" t="str">
        <f aca="false">問題一覧!D130</f>
        <v>座位手術で最も注意すべき合併症と対応は。</v>
      </c>
      <c r="D130" s="23" t="str">
        <f aca="false">問題一覧!G130&amp;"個"</f>
        <v>3個</v>
      </c>
      <c r="E130" s="7"/>
      <c r="F130" s="23"/>
    </row>
    <row r="131" customFormat="false" ht="33.75" hidden="false" customHeight="true" outlineLevel="0" collapsed="false">
      <c r="A131" s="23" t="n">
        <f aca="false">問題一覧!A131</f>
        <v>130</v>
      </c>
      <c r="B131" s="23" t="str">
        <f aca="false">問題一覧!B131</f>
        <v>術式別</v>
      </c>
      <c r="C131" s="7" t="str">
        <f aca="false">問題一覧!D131</f>
        <v>甲状腺手術の周術期の注意点は。</v>
      </c>
      <c r="D131" s="23" t="str">
        <f aca="false">問題一覧!G131&amp;"個"</f>
        <v>3個</v>
      </c>
      <c r="E131" s="7"/>
      <c r="F131" s="23"/>
    </row>
    <row r="132" customFormat="false" ht="33.75" hidden="false" customHeight="true" outlineLevel="0" collapsed="false">
      <c r="A132" s="23" t="n">
        <f aca="false">問題一覧!A132</f>
        <v>131</v>
      </c>
      <c r="B132" s="23" t="str">
        <f aca="false">問題一覧!B132</f>
        <v>術式別</v>
      </c>
      <c r="C132" s="7" t="str">
        <f aca="false">問題一覧!D132</f>
        <v>小児の扁桃摘出術で注意することは。</v>
      </c>
      <c r="D132" s="23" t="str">
        <f aca="false">問題一覧!G132&amp;"個"</f>
        <v>3個</v>
      </c>
      <c r="E132" s="7"/>
      <c r="F132" s="23"/>
    </row>
    <row r="133" customFormat="false" ht="33.75" hidden="false" customHeight="true" outlineLevel="0" collapsed="false">
      <c r="A133" s="23" t="n">
        <f aca="false">問題一覧!A133</f>
        <v>132</v>
      </c>
      <c r="B133" s="23" t="str">
        <f aca="false">問題一覧!B133</f>
        <v>術式別</v>
      </c>
      <c r="C133" s="7" t="str">
        <f aca="false">問題一覧!D133</f>
        <v>気道レーザー手術での火災予防と対応は。</v>
      </c>
      <c r="D133" s="23" t="str">
        <f aca="false">問題一覧!G133&amp;"個"</f>
        <v>3個</v>
      </c>
      <c r="E133" s="7"/>
      <c r="F133" s="23"/>
    </row>
    <row r="134" customFormat="false" ht="33.75" hidden="false" customHeight="true" outlineLevel="0" collapsed="false">
      <c r="A134" s="23" t="n">
        <f aca="false">問題一覧!A134</f>
        <v>133</v>
      </c>
      <c r="B134" s="23" t="str">
        <f aca="false">問題一覧!B134</f>
        <v>術式別</v>
      </c>
      <c r="C134" s="7" t="str">
        <f aca="false">問題一覧!D134</f>
        <v>骨セメント使用時に起こる合併症と対策は。</v>
      </c>
      <c r="D134" s="23" t="str">
        <f aca="false">問題一覧!G134&amp;"個"</f>
        <v>3個</v>
      </c>
      <c r="E134" s="7"/>
      <c r="F134" s="23"/>
    </row>
    <row r="135" customFormat="false" ht="33.75" hidden="false" customHeight="true" outlineLevel="0" collapsed="false">
      <c r="A135" s="23" t="n">
        <f aca="false">問題一覧!A135</f>
        <v>134</v>
      </c>
      <c r="B135" s="23" t="str">
        <f aca="false">問題一覧!B135</f>
        <v>術式別</v>
      </c>
      <c r="C135" s="7" t="str">
        <f aca="false">問題一覧!D135</f>
        <v>駆血帯（ターニケット）使用時の注意点は。</v>
      </c>
      <c r="D135" s="23" t="str">
        <f aca="false">問題一覧!G135&amp;"個"</f>
        <v>3個</v>
      </c>
      <c r="E135" s="7"/>
      <c r="F135" s="23"/>
    </row>
    <row r="136" customFormat="false" ht="33.75" hidden="false" customHeight="true" outlineLevel="0" collapsed="false">
      <c r="A136" s="23" t="n">
        <f aca="false">問題一覧!A136</f>
        <v>135</v>
      </c>
      <c r="B136" s="23" t="str">
        <f aca="false">問題一覧!B136</f>
        <v>術式別</v>
      </c>
      <c r="C136" s="7" t="str">
        <f aca="false">問題一覧!D136</f>
        <v>腹臥位手術の注意点は。</v>
      </c>
      <c r="D136" s="23" t="str">
        <f aca="false">問題一覧!G136&amp;"個"</f>
        <v>3個</v>
      </c>
      <c r="E136" s="7"/>
      <c r="F136" s="23"/>
    </row>
    <row r="137" customFormat="false" ht="33.75" hidden="false" customHeight="true" outlineLevel="0" collapsed="false">
      <c r="A137" s="23" t="n">
        <f aca="false">問題一覧!A137</f>
        <v>136</v>
      </c>
      <c r="B137" s="23" t="str">
        <f aca="false">問題一覧!B137</f>
        <v>術式別</v>
      </c>
      <c r="C137" s="7" t="str">
        <f aca="false">問題一覧!D137</f>
        <v>TUR症候群の症状と対応は。</v>
      </c>
      <c r="D137" s="23" t="str">
        <f aca="false">問題一覧!G137&amp;"個"</f>
        <v>3個</v>
      </c>
      <c r="E137" s="7"/>
      <c r="F137" s="23"/>
    </row>
    <row r="138" customFormat="false" ht="33.75" hidden="false" customHeight="true" outlineLevel="0" collapsed="false">
      <c r="A138" s="23" t="n">
        <f aca="false">問題一覧!A138</f>
        <v>137</v>
      </c>
      <c r="B138" s="23" t="str">
        <f aca="false">問題一覧!B138</f>
        <v>術式別</v>
      </c>
      <c r="C138" s="7" t="str">
        <f aca="false">問題一覧!D138</f>
        <v>経尿道的手術（TUR-Bt）で起こりやすいアクシデントは。</v>
      </c>
      <c r="D138" s="23" t="str">
        <f aca="false">問題一覧!G138&amp;"個"</f>
        <v>3個</v>
      </c>
      <c r="E138" s="7"/>
      <c r="F138" s="23"/>
    </row>
    <row r="139" customFormat="false" ht="33.75" hidden="false" customHeight="true" outlineLevel="0" collapsed="false">
      <c r="A139" s="23" t="n">
        <f aca="false">問題一覧!A139</f>
        <v>138</v>
      </c>
      <c r="B139" s="23" t="str">
        <f aca="false">問題一覧!B139</f>
        <v>術式別</v>
      </c>
      <c r="C139" s="7" t="str">
        <f aca="false">問題一覧!D139</f>
        <v>脊椎麻酔下帝王切開の管理の要点は。</v>
      </c>
      <c r="D139" s="23" t="str">
        <f aca="false">問題一覧!G139&amp;"個"</f>
        <v>3個</v>
      </c>
      <c r="E139" s="7"/>
      <c r="F139" s="23"/>
    </row>
    <row r="140" customFormat="false" ht="33.75" hidden="false" customHeight="true" outlineLevel="0" collapsed="false">
      <c r="A140" s="23" t="n">
        <f aca="false">問題一覧!A140</f>
        <v>139</v>
      </c>
      <c r="B140" s="23" t="str">
        <f aca="false">問題一覧!B140</f>
        <v>術式別</v>
      </c>
      <c r="C140" s="7" t="str">
        <f aca="false">問題一覧!D140</f>
        <v>産科危機的出血への対応は。</v>
      </c>
      <c r="D140" s="23" t="str">
        <f aca="false">問題一覧!G140&amp;"個"</f>
        <v>3個</v>
      </c>
      <c r="E140" s="7"/>
      <c r="F140" s="23"/>
    </row>
    <row r="141" customFormat="false" ht="33.75" hidden="false" customHeight="true" outlineLevel="0" collapsed="false">
      <c r="A141" s="23" t="n">
        <f aca="false">問題一覧!A141</f>
        <v>140</v>
      </c>
      <c r="B141" s="23" t="str">
        <f aca="false">問題一覧!B141</f>
        <v>術式別</v>
      </c>
      <c r="C141" s="7" t="str">
        <f aca="false">問題一覧!D141</f>
        <v>肝切除術の麻酔管理の要点は。</v>
      </c>
      <c r="D141" s="23" t="str">
        <f aca="false">問題一覧!G141&amp;"個"</f>
        <v>3個</v>
      </c>
      <c r="E141" s="7"/>
      <c r="F141" s="23"/>
    </row>
    <row r="142" customFormat="false" ht="33.75" hidden="false" customHeight="true" outlineLevel="0" collapsed="false">
      <c r="A142" s="23" t="n">
        <f aca="false">問題一覧!A142</f>
        <v>141</v>
      </c>
      <c r="B142" s="23" t="str">
        <f aca="false">問題一覧!B142</f>
        <v>術式別</v>
      </c>
      <c r="C142" s="7" t="str">
        <f aca="false">問題一覧!D142</f>
        <v>大動脈遮断（クランプ）と解除で起こることは。</v>
      </c>
      <c r="D142" s="23" t="str">
        <f aca="false">問題一覧!G142&amp;"個"</f>
        <v>3個</v>
      </c>
      <c r="E142" s="7"/>
      <c r="F142" s="23"/>
    </row>
    <row r="143" customFormat="false" ht="33.75" hidden="false" customHeight="true" outlineLevel="0" collapsed="false">
      <c r="A143" s="23" t="n">
        <f aca="false">問題一覧!A143</f>
        <v>142</v>
      </c>
      <c r="B143" s="23" t="str">
        <f aca="false">問題一覧!B143</f>
        <v>術式別</v>
      </c>
      <c r="C143" s="7" t="str">
        <f aca="false">問題一覧!D143</f>
        <v>外傷・大量出血症例の管理の要点は。</v>
      </c>
      <c r="D143" s="23" t="str">
        <f aca="false">問題一覧!G143&amp;"個"</f>
        <v>3個</v>
      </c>
      <c r="E143" s="7"/>
      <c r="F143" s="23"/>
    </row>
    <row r="144" customFormat="false" ht="33.75" hidden="false" customHeight="true" outlineLevel="0" collapsed="false">
      <c r="A144" s="23" t="n">
        <f aca="false">問題一覧!A144</f>
        <v>143</v>
      </c>
      <c r="B144" s="23" t="str">
        <f aca="false">問題一覧!B144</f>
        <v>術式別</v>
      </c>
      <c r="C144" s="7" t="str">
        <f aca="false">問題一覧!D144</f>
        <v>緊急手術の全身麻酔の基本方針は。</v>
      </c>
      <c r="D144" s="23" t="str">
        <f aca="false">問題一覧!G144&amp;"個"</f>
        <v>3個</v>
      </c>
      <c r="E144" s="7"/>
      <c r="F144" s="23"/>
    </row>
    <row r="145" customFormat="false" ht="33.75" hidden="false" customHeight="true" outlineLevel="0" collapsed="false">
      <c r="A145" s="23" t="n">
        <f aca="false">問題一覧!A145</f>
        <v>144</v>
      </c>
      <c r="B145" s="23" t="str">
        <f aca="false">問題一覧!B145</f>
        <v>術式別</v>
      </c>
      <c r="C145" s="7" t="str">
        <f aca="false">問題一覧!D145</f>
        <v>眼科手術で注意する反射と合併症は。</v>
      </c>
      <c r="D145" s="23" t="str">
        <f aca="false">問題一覧!G145&amp;"個"</f>
        <v>3個</v>
      </c>
      <c r="E145" s="7"/>
      <c r="F145" s="23"/>
    </row>
    <row r="146" customFormat="false" ht="33.75" hidden="false" customHeight="true" outlineLevel="0" collapsed="false">
      <c r="A146" s="23" t="n">
        <f aca="false">問題一覧!A146</f>
        <v>145</v>
      </c>
      <c r="B146" s="23" t="str">
        <f aca="false">問題一覧!B146</f>
        <v>術式別</v>
      </c>
      <c r="C146" s="7" t="str">
        <f aca="false">問題一覧!D146</f>
        <v>手術室外（内視鏡・IVRなど）の麻酔で注意することは。</v>
      </c>
      <c r="D146" s="23" t="str">
        <f aca="false">問題一覧!G146&amp;"個"</f>
        <v>3個</v>
      </c>
      <c r="E146" s="7"/>
      <c r="F146" s="23"/>
    </row>
    <row r="147" customFormat="false" ht="33.75" hidden="false" customHeight="true" outlineLevel="0" collapsed="false">
      <c r="A147" s="23" t="n">
        <f aca="false">問題一覧!A147</f>
        <v>146</v>
      </c>
      <c r="B147" s="23" t="str">
        <f aca="false">問題一覧!B147</f>
        <v>術式別</v>
      </c>
      <c r="C147" s="7" t="str">
        <f aca="false">問題一覧!D147</f>
        <v>鎮静中の主なアクシデントは。</v>
      </c>
      <c r="D147" s="23" t="str">
        <f aca="false">問題一覧!G147&amp;"個"</f>
        <v>3個</v>
      </c>
      <c r="E147" s="7"/>
      <c r="F147" s="23"/>
    </row>
    <row r="148" customFormat="false" ht="33.75" hidden="false" customHeight="true" outlineLevel="0" collapsed="false">
      <c r="A148" s="23" t="n">
        <f aca="false">問題一覧!A148</f>
        <v>147</v>
      </c>
      <c r="B148" s="23" t="str">
        <f aca="false">問題一覧!B148</f>
        <v>術式別</v>
      </c>
      <c r="C148" s="7" t="str">
        <f aca="false">問題一覧!D148</f>
        <v>脊椎麻酔で高位（全脊椎麻酔）になったときの症状と対応は。</v>
      </c>
      <c r="D148" s="23" t="str">
        <f aca="false">問題一覧!G148&amp;"個"</f>
        <v>3個</v>
      </c>
      <c r="E148" s="7"/>
      <c r="F148" s="23"/>
    </row>
    <row r="149" customFormat="false" ht="33.75" hidden="false" customHeight="true" outlineLevel="0" collapsed="false">
      <c r="A149" s="23" t="n">
        <f aca="false">問題一覧!A149</f>
        <v>148</v>
      </c>
      <c r="B149" s="23" t="str">
        <f aca="false">問題一覧!B149</f>
        <v>術式別</v>
      </c>
      <c r="C149" s="7" t="str">
        <f aca="false">問題一覧!D149</f>
        <v>硬膜外麻酔の合併症は。</v>
      </c>
      <c r="D149" s="23" t="str">
        <f aca="false">問題一覧!G149&amp;"個"</f>
        <v>3個</v>
      </c>
      <c r="E149" s="7"/>
      <c r="F149" s="23"/>
    </row>
    <row r="150" customFormat="false" ht="33.75" hidden="false" customHeight="true" outlineLevel="0" collapsed="false">
      <c r="A150" s="23" t="n">
        <f aca="false">問題一覧!A150</f>
        <v>149</v>
      </c>
      <c r="B150" s="23" t="str">
        <f aca="false">問題一覧!B150</f>
        <v>術式別</v>
      </c>
      <c r="C150" s="7" t="str">
        <f aca="false">問題一覧!D150</f>
        <v>末梢神経ブロックの合併症は。</v>
      </c>
      <c r="D150" s="23" t="str">
        <f aca="false">問題一覧!G150&amp;"個"</f>
        <v>3個</v>
      </c>
      <c r="E150" s="7"/>
      <c r="F150" s="23"/>
    </row>
    <row r="151" customFormat="false" ht="33.75" hidden="false" customHeight="true" outlineLevel="0" collapsed="false">
      <c r="A151" s="23" t="n">
        <f aca="false">問題一覧!A151</f>
        <v>150</v>
      </c>
      <c r="B151" s="23" t="str">
        <f aca="false">問題一覧!B151</f>
        <v>輸血・凝固</v>
      </c>
      <c r="C151" s="7" t="str">
        <f aca="false">問題一覧!D151</f>
        <v>赤血球液（RBC）2単位でHbはどのくらい上がるか。</v>
      </c>
      <c r="D151" s="23" t="str">
        <f aca="false">問題一覧!G151&amp;"個"</f>
        <v>2個</v>
      </c>
      <c r="E151" s="7"/>
      <c r="F151" s="23"/>
    </row>
    <row r="152" customFormat="false" ht="33.75" hidden="false" customHeight="true" outlineLevel="0" collapsed="false">
      <c r="A152" s="23" t="n">
        <f aca="false">問題一覧!A152</f>
        <v>151</v>
      </c>
      <c r="B152" s="23" t="str">
        <f aca="false">問題一覧!B152</f>
        <v>輸血・凝固</v>
      </c>
      <c r="C152" s="7" t="str">
        <f aca="false">問題一覧!D152</f>
        <v>術中の輸血開始の目安（トリガー）は。</v>
      </c>
      <c r="D152" s="23" t="str">
        <f aca="false">問題一覧!G152&amp;"個"</f>
        <v>3個</v>
      </c>
      <c r="E152" s="7"/>
      <c r="F152" s="23"/>
    </row>
    <row r="153" customFormat="false" ht="33.75" hidden="false" customHeight="true" outlineLevel="0" collapsed="false">
      <c r="A153" s="23" t="n">
        <f aca="false">問題一覧!A153</f>
        <v>152</v>
      </c>
      <c r="B153" s="23" t="str">
        <f aca="false">問題一覧!B153</f>
        <v>輸血・凝固</v>
      </c>
      <c r="C153" s="7" t="str">
        <f aca="false">問題一覧!D153</f>
        <v>大量輸血の定義は。</v>
      </c>
      <c r="D153" s="23" t="str">
        <f aca="false">問題一覧!G153&amp;"個"</f>
        <v>2個</v>
      </c>
      <c r="E153" s="7"/>
      <c r="F153" s="23"/>
    </row>
    <row r="154" customFormat="false" ht="33.75" hidden="false" customHeight="true" outlineLevel="0" collapsed="false">
      <c r="A154" s="23" t="n">
        <f aca="false">問題一覧!A154</f>
        <v>153</v>
      </c>
      <c r="B154" s="23" t="str">
        <f aca="false">問題一覧!B154</f>
        <v>輸血・凝固</v>
      </c>
      <c r="C154" s="7" t="str">
        <f aca="false">問題一覧!D154</f>
        <v>大量輸血に伴う合併症は。</v>
      </c>
      <c r="D154" s="23" t="str">
        <f aca="false">問題一覧!G154&amp;"個"</f>
        <v>3個</v>
      </c>
      <c r="E154" s="7"/>
      <c r="F154" s="23"/>
    </row>
    <row r="155" customFormat="false" ht="33.75" hidden="false" customHeight="true" outlineLevel="0" collapsed="false">
      <c r="A155" s="23" t="n">
        <f aca="false">問題一覧!A155</f>
        <v>154</v>
      </c>
      <c r="B155" s="23" t="str">
        <f aca="false">問題一覧!B155</f>
        <v>輸血・凝固</v>
      </c>
      <c r="C155" s="7" t="str">
        <f aca="false">問題一覧!D155</f>
        <v>新鮮凍結血漿（FFP）の適応と投与量は。</v>
      </c>
      <c r="D155" s="23" t="str">
        <f aca="false">問題一覧!G155&amp;"個"</f>
        <v>3個</v>
      </c>
      <c r="E155" s="7"/>
      <c r="F155" s="23"/>
    </row>
    <row r="156" customFormat="false" ht="33.75" hidden="false" customHeight="true" outlineLevel="0" collapsed="false">
      <c r="A156" s="23" t="n">
        <f aca="false">問題一覧!A156</f>
        <v>155</v>
      </c>
      <c r="B156" s="23" t="str">
        <f aca="false">問題一覧!B156</f>
        <v>輸血・凝固</v>
      </c>
      <c r="C156" s="7" t="str">
        <f aca="false">問題一覧!D156</f>
        <v>血小板輸血の適応と効果の目安は。</v>
      </c>
      <c r="D156" s="23" t="str">
        <f aca="false">問題一覧!G156&amp;"個"</f>
        <v>3個</v>
      </c>
      <c r="E156" s="7"/>
      <c r="F156" s="23"/>
    </row>
    <row r="157" customFormat="false" ht="33.75" hidden="false" customHeight="true" outlineLevel="0" collapsed="false">
      <c r="A157" s="23" t="n">
        <f aca="false">問題一覧!A157</f>
        <v>156</v>
      </c>
      <c r="B157" s="23" t="str">
        <f aca="false">問題一覧!B157</f>
        <v>輸血・凝固</v>
      </c>
      <c r="C157" s="7" t="str">
        <f aca="false">問題一覧!D157</f>
        <v>フィブリノゲンの目標値と補充方法は。</v>
      </c>
      <c r="D157" s="23" t="str">
        <f aca="false">問題一覧!G157&amp;"個"</f>
        <v>3個</v>
      </c>
      <c r="E157" s="7"/>
      <c r="F157" s="23"/>
    </row>
    <row r="158" customFormat="false" ht="33.75" hidden="false" customHeight="true" outlineLevel="0" collapsed="false">
      <c r="A158" s="23" t="n">
        <f aca="false">問題一覧!A158</f>
        <v>157</v>
      </c>
      <c r="B158" s="23" t="str">
        <f aca="false">問題一覧!B158</f>
        <v>輸血・凝固</v>
      </c>
      <c r="C158" s="7" t="str">
        <f aca="false">問題一覧!D158</f>
        <v>輸血の急性副作用を挙げよ。</v>
      </c>
      <c r="D158" s="23" t="str">
        <f aca="false">問題一覧!G158&amp;"個"</f>
        <v>3個</v>
      </c>
      <c r="E158" s="7"/>
      <c r="F158" s="23"/>
    </row>
    <row r="159" customFormat="false" ht="33.75" hidden="false" customHeight="true" outlineLevel="0" collapsed="false">
      <c r="A159" s="23" t="n">
        <f aca="false">問題一覧!A159</f>
        <v>158</v>
      </c>
      <c r="B159" s="23" t="str">
        <f aca="false">問題一覧!B159</f>
        <v>輸血・凝固</v>
      </c>
      <c r="C159" s="7" t="str">
        <f aca="false">問題一覧!D159</f>
        <v>全身麻酔中のABO不適合輸血に気づく所見は。</v>
      </c>
      <c r="D159" s="23" t="str">
        <f aca="false">問題一覧!G159&amp;"個"</f>
        <v>3個</v>
      </c>
      <c r="E159" s="7"/>
      <c r="F159" s="23"/>
    </row>
    <row r="160" customFormat="false" ht="33.75" hidden="false" customHeight="true" outlineLevel="0" collapsed="false">
      <c r="A160" s="23" t="n">
        <f aca="false">問題一覧!A160</f>
        <v>159</v>
      </c>
      <c r="B160" s="23" t="str">
        <f aca="false">問題一覧!B160</f>
        <v>輸血・凝固</v>
      </c>
      <c r="C160" s="7" t="str">
        <f aca="false">問題一覧!D160</f>
        <v>TRALIとTACOの違いは。</v>
      </c>
      <c r="D160" s="23" t="str">
        <f aca="false">問題一覧!G160&amp;"個"</f>
        <v>2個</v>
      </c>
      <c r="E160" s="7"/>
      <c r="F160" s="23"/>
    </row>
    <row r="161" customFormat="false" ht="33.75" hidden="false" customHeight="true" outlineLevel="0" collapsed="false">
      <c r="A161" s="23" t="n">
        <f aca="false">問題一覧!A161</f>
        <v>160</v>
      </c>
      <c r="B161" s="23" t="str">
        <f aca="false">問題一覧!B161</f>
        <v>輸血・凝固</v>
      </c>
      <c r="C161" s="7" t="str">
        <f aca="false">問題一覧!D161</f>
        <v>クエン酸中毒（低Ca血症）の所見と対応は。</v>
      </c>
      <c r="D161" s="23" t="str">
        <f aca="false">問題一覧!G161&amp;"個"</f>
        <v>3個</v>
      </c>
      <c r="E161" s="7"/>
      <c r="F161" s="23"/>
    </row>
    <row r="162" customFormat="false" ht="33.75" hidden="false" customHeight="true" outlineLevel="0" collapsed="false">
      <c r="A162" s="23" t="n">
        <f aca="false">問題一覧!A162</f>
        <v>161</v>
      </c>
      <c r="B162" s="23" t="str">
        <f aca="false">問題一覧!B162</f>
        <v>輸血・凝固</v>
      </c>
      <c r="C162" s="7" t="str">
        <f aca="false">問題一覧!D162</f>
        <v>術中の凝固能の評価方法は。</v>
      </c>
      <c r="D162" s="23" t="str">
        <f aca="false">問題一覧!G162&amp;"個"</f>
        <v>3個</v>
      </c>
      <c r="E162" s="7"/>
      <c r="F162" s="23"/>
    </row>
    <row r="163" customFormat="false" ht="33.75" hidden="false" customHeight="true" outlineLevel="0" collapsed="false">
      <c r="A163" s="23" t="n">
        <f aca="false">問題一覧!A163</f>
        <v>162</v>
      </c>
      <c r="B163" s="23" t="str">
        <f aca="false">問題一覧!B163</f>
        <v>輸血・凝固</v>
      </c>
      <c r="C163" s="7" t="str">
        <f aca="false">問題一覧!D163</f>
        <v>自己血輸血の種類は。</v>
      </c>
      <c r="D163" s="23" t="str">
        <f aca="false">問題一覧!G163&amp;"個"</f>
        <v>3個</v>
      </c>
      <c r="E163" s="7"/>
      <c r="F163" s="23"/>
    </row>
    <row r="164" customFormat="false" ht="33.75" hidden="false" customHeight="true" outlineLevel="0" collapsed="false">
      <c r="A164" s="23" t="n">
        <f aca="false">問題一覧!A164</f>
        <v>163</v>
      </c>
      <c r="B164" s="23" t="str">
        <f aca="false">問題一覧!B164</f>
        <v>輸血・凝固</v>
      </c>
      <c r="C164" s="7" t="str">
        <f aca="false">問題一覧!D164</f>
        <v>血液型が不明な緊急出血への輸血は。</v>
      </c>
      <c r="D164" s="23" t="str">
        <f aca="false">問題一覧!G164&amp;"個"</f>
        <v>3個</v>
      </c>
      <c r="E164" s="7"/>
      <c r="F164" s="23"/>
    </row>
    <row r="165" customFormat="false" ht="33.75" hidden="false" customHeight="true" outlineLevel="0" collapsed="false">
      <c r="A165" s="23" t="n">
        <f aca="false">問題一覧!A165</f>
        <v>164</v>
      </c>
      <c r="B165" s="23" t="str">
        <f aca="false">問題一覧!B165</f>
        <v>術後鎮痛</v>
      </c>
      <c r="C165" s="7" t="str">
        <f aca="false">問題一覧!D165</f>
        <v>multimodal analgesia（多角的鎮痛）の考え方は。</v>
      </c>
      <c r="D165" s="23" t="str">
        <f aca="false">問題一覧!G165&amp;"個"</f>
        <v>3個</v>
      </c>
      <c r="E165" s="7"/>
      <c r="F165" s="23"/>
    </row>
    <row r="166" customFormat="false" ht="33.75" hidden="false" customHeight="true" outlineLevel="0" collapsed="false">
      <c r="A166" s="23" t="n">
        <f aca="false">問題一覧!A166</f>
        <v>165</v>
      </c>
      <c r="B166" s="23" t="str">
        <f aca="false">問題一覧!B166</f>
        <v>術後鎮痛</v>
      </c>
      <c r="C166" s="7" t="str">
        <f aca="false">問題一覧!D166</f>
        <v>フェンタニルIV-PCAの一般的な設定は。</v>
      </c>
      <c r="D166" s="23" t="str">
        <f aca="false">問題一覧!G166&amp;"個"</f>
        <v>3個</v>
      </c>
      <c r="E166" s="7"/>
      <c r="F166" s="23"/>
    </row>
    <row r="167" customFormat="false" ht="33.75" hidden="false" customHeight="true" outlineLevel="0" collapsed="false">
      <c r="A167" s="23" t="n">
        <f aca="false">問題一覧!A167</f>
        <v>166</v>
      </c>
      <c r="B167" s="23" t="str">
        <f aca="false">問題一覧!B167</f>
        <v>術後鎮痛</v>
      </c>
      <c r="C167" s="7" t="str">
        <f aca="false">問題一覧!D167</f>
        <v>IV-PCAの注意点・合併症は。</v>
      </c>
      <c r="D167" s="23" t="str">
        <f aca="false">問題一覧!G167&amp;"個"</f>
        <v>3個</v>
      </c>
      <c r="E167" s="7"/>
      <c r="F167" s="23"/>
    </row>
    <row r="168" customFormat="false" ht="33.75" hidden="false" customHeight="true" outlineLevel="0" collapsed="false">
      <c r="A168" s="23" t="n">
        <f aca="false">問題一覧!A168</f>
        <v>167</v>
      </c>
      <c r="B168" s="23" t="str">
        <f aca="false">問題一覧!B168</f>
        <v>術後鎮痛</v>
      </c>
      <c r="C168" s="7" t="str">
        <f aca="false">問題一覧!D168</f>
        <v>硬膜外鎮痛の利点と適応は。</v>
      </c>
      <c r="D168" s="23" t="str">
        <f aca="false">問題一覧!G168&amp;"個"</f>
        <v>3個</v>
      </c>
      <c r="E168" s="7"/>
      <c r="F168" s="23"/>
    </row>
    <row r="169" customFormat="false" ht="33.75" hidden="false" customHeight="true" outlineLevel="0" collapsed="false">
      <c r="A169" s="23" t="n">
        <f aca="false">問題一覧!A169</f>
        <v>168</v>
      </c>
      <c r="B169" s="23" t="str">
        <f aca="false">問題一覧!B169</f>
        <v>術後鎮痛</v>
      </c>
      <c r="C169" s="7" t="str">
        <f aca="false">問題一覧!D169</f>
        <v>硬膜外血腫を疑う症状と対応は。</v>
      </c>
      <c r="D169" s="23" t="str">
        <f aca="false">問題一覧!G169&amp;"個"</f>
        <v>3個</v>
      </c>
      <c r="E169" s="7"/>
      <c r="F169" s="23"/>
    </row>
    <row r="170" customFormat="false" ht="33.75" hidden="false" customHeight="true" outlineLevel="0" collapsed="false">
      <c r="A170" s="23" t="n">
        <f aca="false">問題一覧!A170</f>
        <v>169</v>
      </c>
      <c r="B170" s="23" t="str">
        <f aca="false">問題一覧!B170</f>
        <v>術後鎮痛</v>
      </c>
      <c r="C170" s="7" t="str">
        <f aca="false">問題一覧!D170</f>
        <v>硬膜穿刺後頭痛（PDPH）の特徴と対応は。</v>
      </c>
      <c r="D170" s="23" t="str">
        <f aca="false">問題一覧!G170&amp;"個"</f>
        <v>3個</v>
      </c>
      <c r="E170" s="7"/>
      <c r="F170" s="23"/>
    </row>
    <row r="171" customFormat="false" ht="33.75" hidden="false" customHeight="true" outlineLevel="0" collapsed="false">
      <c r="A171" s="23" t="n">
        <f aca="false">問題一覧!A171</f>
        <v>170</v>
      </c>
      <c r="B171" s="23" t="str">
        <f aca="false">問題一覧!B171</f>
        <v>術後鎮痛</v>
      </c>
      <c r="C171" s="7" t="str">
        <f aca="false">問題一覧!D171</f>
        <v>代表的な神経ブロックと適応は。</v>
      </c>
      <c r="D171" s="23" t="str">
        <f aca="false">問題一覧!G171&amp;"個"</f>
        <v>3個</v>
      </c>
      <c r="E171" s="7"/>
      <c r="F171" s="23"/>
    </row>
    <row r="172" customFormat="false" ht="33.75" hidden="false" customHeight="true" outlineLevel="0" collapsed="false">
      <c r="A172" s="23" t="n">
        <f aca="false">問題一覧!A172</f>
        <v>171</v>
      </c>
      <c r="B172" s="23" t="str">
        <f aca="false">問題一覧!B172</f>
        <v>術後鎮痛</v>
      </c>
      <c r="C172" s="7" t="str">
        <f aca="false">問題一覧!D172</f>
        <v>術後痛の評価方法は。</v>
      </c>
      <c r="D172" s="23" t="str">
        <f aca="false">問題一覧!G172&amp;"個"</f>
        <v>3個</v>
      </c>
      <c r="E172" s="7"/>
      <c r="F172" s="23"/>
    </row>
    <row r="173" customFormat="false" ht="33.75" hidden="false" customHeight="true" outlineLevel="0" collapsed="false">
      <c r="A173" s="23" t="n">
        <f aca="false">問題一覧!A173</f>
        <v>172</v>
      </c>
      <c r="B173" s="23" t="str">
        <f aca="false">問題一覧!B173</f>
        <v>術後鎮痛</v>
      </c>
      <c r="C173" s="7" t="str">
        <f aca="false">問題一覧!D173</f>
        <v>術後鎮痛が不十分なときの弊害は。</v>
      </c>
      <c r="D173" s="23" t="str">
        <f aca="false">問題一覧!G173&amp;"個"</f>
        <v>3個</v>
      </c>
      <c r="E173" s="7"/>
      <c r="F173" s="23"/>
    </row>
    <row r="174" customFormat="false" ht="33.75" hidden="false" customHeight="true" outlineLevel="0" collapsed="false">
      <c r="A174" s="23" t="n">
        <f aca="false">問題一覧!A174</f>
        <v>173</v>
      </c>
      <c r="B174" s="23" t="str">
        <f aca="false">問題一覧!B174</f>
        <v>術後鎮痛</v>
      </c>
      <c r="C174" s="7" t="str">
        <f aca="false">問題一覧!D174</f>
        <v>術後の呼吸抑制のリスク因子は。</v>
      </c>
      <c r="D174" s="23" t="str">
        <f aca="false">問題一覧!G174&amp;"個"</f>
        <v>3個</v>
      </c>
      <c r="E174" s="7"/>
      <c r="F174" s="23"/>
    </row>
    <row r="175" customFormat="false" ht="33.75" hidden="false" customHeight="true" outlineLevel="0" collapsed="false">
      <c r="A175" s="23" t="n">
        <f aca="false">問題一覧!A175</f>
        <v>174</v>
      </c>
      <c r="B175" s="23" t="str">
        <f aca="false">問題一覧!B175</f>
        <v>術後鎮痛</v>
      </c>
      <c r="C175" s="7" t="str">
        <f aca="false">問題一覧!D175</f>
        <v>慢性的にオピオイドを内服している患者の術後鎮痛は。</v>
      </c>
      <c r="D175" s="23" t="str">
        <f aca="false">問題一覧!G175&amp;"個"</f>
        <v>3個</v>
      </c>
      <c r="E175" s="7"/>
      <c r="F175" s="23"/>
    </row>
    <row r="176" customFormat="false" ht="33.75" hidden="false" customHeight="true" outlineLevel="0" collapsed="false">
      <c r="A176" s="23" t="n">
        <f aca="false">問題一覧!A176</f>
        <v>175</v>
      </c>
      <c r="B176" s="23" t="str">
        <f aca="false">問題一覧!B176</f>
        <v>術後鎮痛</v>
      </c>
      <c r="C176" s="7" t="str">
        <f aca="false">問題一覧!D176</f>
        <v>術後シバリングの原因と対応は。</v>
      </c>
      <c r="D176" s="23" t="str">
        <f aca="false">問題一覧!G176&amp;"個"</f>
        <v>3個</v>
      </c>
      <c r="E176" s="7"/>
      <c r="F176" s="23"/>
    </row>
    <row r="177" customFormat="false" ht="33.75" hidden="false" customHeight="true" outlineLevel="0" collapsed="false">
      <c r="A177" s="23" t="n">
        <f aca="false">問題一覧!A177</f>
        <v>176</v>
      </c>
      <c r="B177" s="23" t="str">
        <f aca="false">問題一覧!B177</f>
        <v>術後鎮痛</v>
      </c>
      <c r="C177" s="7" t="str">
        <f aca="false">問題一覧!D177</f>
        <v>術後せん妄の予防策は。</v>
      </c>
      <c r="D177" s="23" t="str">
        <f aca="false">問題一覧!G177&amp;"個"</f>
        <v>3個</v>
      </c>
      <c r="E177" s="7"/>
      <c r="F177" s="23"/>
    </row>
    <row r="178" customFormat="false" ht="33.75" hidden="false" customHeight="true" outlineLevel="0" collapsed="false">
      <c r="A178" s="23" t="n">
        <f aca="false">問題一覧!A178</f>
        <v>177</v>
      </c>
      <c r="B178" s="23" t="str">
        <f aca="false">問題一覧!B178</f>
        <v>モニタ・機器</v>
      </c>
      <c r="C178" s="7" t="str">
        <f aca="false">問題一覧!D178</f>
        <v>SpO2の値が信頼できなくなる状況は。</v>
      </c>
      <c r="D178" s="23" t="str">
        <f aca="false">問題一覧!G178&amp;"個"</f>
        <v>3個</v>
      </c>
      <c r="E178" s="7"/>
      <c r="F178" s="23"/>
    </row>
    <row r="179" customFormat="false" ht="33.75" hidden="false" customHeight="true" outlineLevel="0" collapsed="false">
      <c r="A179" s="23" t="n">
        <f aca="false">問題一覧!A179</f>
        <v>178</v>
      </c>
      <c r="B179" s="23" t="str">
        <f aca="false">問題一覧!B179</f>
        <v>モニタ・機器</v>
      </c>
      <c r="C179" s="7" t="str">
        <f aca="false">問題一覧!D179</f>
        <v>観血的動脈圧ラインの適応は。</v>
      </c>
      <c r="D179" s="23" t="str">
        <f aca="false">問題一覧!G179&amp;"個"</f>
        <v>3個</v>
      </c>
      <c r="E179" s="7"/>
      <c r="F179" s="23"/>
    </row>
    <row r="180" customFormat="false" ht="33.75" hidden="false" customHeight="true" outlineLevel="0" collapsed="false">
      <c r="A180" s="23" t="n">
        <f aca="false">問題一覧!A180</f>
        <v>179</v>
      </c>
      <c r="B180" s="23" t="str">
        <f aca="false">問題一覧!B180</f>
        <v>モニタ・機器</v>
      </c>
      <c r="C180" s="7" t="str">
        <f aca="false">問題一覧!D180</f>
        <v>動脈圧波形がなまる（ダンピング）原因は。</v>
      </c>
      <c r="D180" s="23" t="str">
        <f aca="false">問題一覧!G180&amp;"個"</f>
        <v>3個</v>
      </c>
      <c r="E180" s="7"/>
      <c r="F180" s="23"/>
    </row>
    <row r="181" customFormat="false" ht="33.75" hidden="false" customHeight="true" outlineLevel="0" collapsed="false">
      <c r="A181" s="23" t="n">
        <f aca="false">問題一覧!A181</f>
        <v>180</v>
      </c>
      <c r="B181" s="23" t="str">
        <f aca="false">問題一覧!B181</f>
        <v>モニタ・機器</v>
      </c>
      <c r="C181" s="7" t="str">
        <f aca="false">問題一覧!D181</f>
        <v>中心静脈カテーテル挿入の合併症は。</v>
      </c>
      <c r="D181" s="23" t="str">
        <f aca="false">問題一覧!G181&amp;"個"</f>
        <v>3個</v>
      </c>
      <c r="E181" s="7"/>
      <c r="F181" s="23"/>
    </row>
    <row r="182" customFormat="false" ht="33.75" hidden="false" customHeight="true" outlineLevel="0" collapsed="false">
      <c r="A182" s="23" t="n">
        <f aca="false">問題一覧!A182</f>
        <v>181</v>
      </c>
      <c r="B182" s="23" t="str">
        <f aca="false">問題一覧!B182</f>
        <v>モニタ・機器</v>
      </c>
      <c r="C182" s="7" t="str">
        <f aca="false">問題一覧!D182</f>
        <v>電気メスによるモニタへの影響と対策は。</v>
      </c>
      <c r="D182" s="23" t="str">
        <f aca="false">問題一覧!G182&amp;"個"</f>
        <v>3個</v>
      </c>
      <c r="E182" s="7"/>
      <c r="F182" s="23"/>
    </row>
    <row r="183" customFormat="false" ht="33.75" hidden="false" customHeight="true" outlineLevel="0" collapsed="false">
      <c r="A183" s="23" t="n">
        <f aca="false">問題一覧!A183</f>
        <v>182</v>
      </c>
      <c r="B183" s="23" t="str">
        <f aca="false">問題一覧!B183</f>
        <v>モニタ・機器</v>
      </c>
      <c r="C183" s="7" t="str">
        <f aca="false">問題一覧!D183</f>
        <v>麻酔器の始業点検で確認することは。</v>
      </c>
      <c r="D183" s="23" t="str">
        <f aca="false">問題一覧!G183&amp;"個"</f>
        <v>3個</v>
      </c>
      <c r="E183" s="7"/>
      <c r="F183" s="23"/>
    </row>
    <row r="184" customFormat="false" ht="33.75" hidden="false" customHeight="true" outlineLevel="0" collapsed="false">
      <c r="A184" s="23" t="n">
        <f aca="false">問題一覧!A184</f>
        <v>183</v>
      </c>
      <c r="B184" s="23" t="str">
        <f aca="false">問題一覧!B184</f>
        <v>モニタ・機器</v>
      </c>
      <c r="C184" s="7" t="str">
        <f aca="false">問題一覧!D184</f>
        <v>ソーダライムの消耗を示す所見は。</v>
      </c>
      <c r="D184" s="23" t="str">
        <f aca="false">問題一覧!G184&amp;"個"</f>
        <v>3個</v>
      </c>
      <c r="E184" s="7"/>
      <c r="F184" s="23"/>
    </row>
    <row r="185" customFormat="false" ht="33.75" hidden="false" customHeight="true" outlineLevel="0" collapsed="false">
      <c r="A185" s="23" t="n">
        <f aca="false">問題一覧!A185</f>
        <v>184</v>
      </c>
      <c r="B185" s="23" t="str">
        <f aca="false">問題一覧!B185</f>
        <v>モニタ・機器</v>
      </c>
      <c r="C185" s="7" t="str">
        <f aca="false">問題一覧!D185</f>
        <v>術中に酸素供給が途絶したときの対応は。</v>
      </c>
      <c r="D185" s="23" t="str">
        <f aca="false">問題一覧!G185&amp;"個"</f>
        <v>3個</v>
      </c>
      <c r="E185" s="7"/>
      <c r="F185" s="23"/>
    </row>
    <row r="186" customFormat="false" ht="33.75" hidden="false" customHeight="true" outlineLevel="0" collapsed="false">
      <c r="A186" s="23" t="n">
        <f aca="false">問題一覧!A186</f>
        <v>185</v>
      </c>
      <c r="B186" s="23" t="str">
        <f aca="false">問題一覧!B186</f>
        <v>モニタ・機器</v>
      </c>
      <c r="C186" s="7" t="str">
        <f aca="false">問題一覧!D186</f>
        <v>体温モニタの測定部位と特徴は。</v>
      </c>
      <c r="D186" s="23" t="str">
        <f aca="false">問題一覧!G186&amp;"個"</f>
        <v>3個</v>
      </c>
      <c r="E186" s="7"/>
      <c r="F186" s="23"/>
    </row>
    <row r="187" customFormat="false" ht="33.75" hidden="false" customHeight="true" outlineLevel="0" collapsed="false">
      <c r="A187" s="23" t="n">
        <f aca="false">問題一覧!A187</f>
        <v>186</v>
      </c>
      <c r="B187" s="23" t="str">
        <f aca="false">問題一覧!B187</f>
        <v>モニタ・機器</v>
      </c>
      <c r="C187" s="7" t="str">
        <f aca="false">問題一覧!D187</f>
        <v>BISモニタの限界は。</v>
      </c>
      <c r="D187" s="23" t="str">
        <f aca="false">問題一覧!G187&amp;"個"</f>
        <v>3個</v>
      </c>
      <c r="E187" s="7"/>
      <c r="F187" s="23"/>
    </row>
    <row r="188" customFormat="false" ht="33.75" hidden="false" customHeight="true" outlineLevel="0" collapsed="false">
      <c r="A188" s="23" t="n">
        <f aca="false">問題一覧!A188</f>
        <v>187</v>
      </c>
      <c r="B188" s="23" t="str">
        <f aca="false">問題一覧!B188</f>
        <v>モニタ・機器</v>
      </c>
      <c r="C188" s="7" t="str">
        <f aca="false">問題一覧!D188</f>
        <v>SVV・PPVで輸液反応性を評価できる条件は。</v>
      </c>
      <c r="D188" s="23" t="str">
        <f aca="false">問題一覧!G188&amp;"個"</f>
        <v>3個</v>
      </c>
      <c r="E188" s="7"/>
      <c r="F188" s="23"/>
    </row>
    <row r="189" customFormat="false" ht="33.75" hidden="false" customHeight="true" outlineLevel="0" collapsed="false">
      <c r="A189" s="23" t="n">
        <f aca="false">問題一覧!A189</f>
        <v>188</v>
      </c>
      <c r="B189" s="23" t="str">
        <f aca="false">問題一覧!B189</f>
        <v>モニタ・機器</v>
      </c>
      <c r="C189" s="7" t="str">
        <f aca="false">問題一覧!D189</f>
        <v>筋弛緩モニタの装着部位と注意点は。</v>
      </c>
      <c r="D189" s="23" t="str">
        <f aca="false">問題一覧!G189&amp;"個"</f>
        <v>3個</v>
      </c>
      <c r="E189" s="7"/>
      <c r="F189" s="23"/>
    </row>
    <row r="190" customFormat="false" ht="33.75" hidden="false" customHeight="true" outlineLevel="0" collapsed="false">
      <c r="A190" s="23" t="n">
        <f aca="false">問題一覧!A190</f>
        <v>189</v>
      </c>
      <c r="B190" s="23" t="str">
        <f aca="false">問題一覧!B190</f>
        <v>モニタ・機器</v>
      </c>
      <c r="C190" s="7" t="str">
        <f aca="false">問題一覧!D190</f>
        <v>術中の血液ガスで確認する項目は。</v>
      </c>
      <c r="D190" s="23" t="str">
        <f aca="false">問題一覧!G190&amp;"個"</f>
        <v>3個</v>
      </c>
      <c r="E190" s="7"/>
      <c r="F190" s="23"/>
    </row>
    <row r="191" customFormat="false" ht="33.75" hidden="false" customHeight="true" outlineLevel="0" collapsed="false">
      <c r="A191" s="23" t="n">
        <f aca="false">問題一覧!A191</f>
        <v>190</v>
      </c>
      <c r="B191" s="23" t="str">
        <f aca="false">問題一覧!B191</f>
        <v>モニタ・機器</v>
      </c>
      <c r="C191" s="7" t="str">
        <f aca="false">問題一覧!D191</f>
        <v>SpO2とEtCO2の役割の違いは。</v>
      </c>
      <c r="D191" s="23" t="str">
        <f aca="false">問題一覧!G191&amp;"個"</f>
        <v>3個</v>
      </c>
      <c r="E191" s="7"/>
      <c r="F191" s="23"/>
    </row>
    <row r="192" customFormat="false" ht="33.75" hidden="false" customHeight="true" outlineLevel="0" collapsed="false">
      <c r="A192" s="23" t="n">
        <f aca="false">問題一覧!A192</f>
        <v>191</v>
      </c>
      <c r="B192" s="23" t="str">
        <f aca="false">問題一覧!B192</f>
        <v>モニタ・機器</v>
      </c>
      <c r="C192" s="7" t="str">
        <f aca="false">問題一覧!D192</f>
        <v>加温装置による事故は。</v>
      </c>
      <c r="D192" s="23" t="str">
        <f aca="false">問題一覧!G192&amp;"個"</f>
        <v>3個</v>
      </c>
      <c r="E192" s="7"/>
      <c r="F192" s="23"/>
    </row>
    <row r="193" customFormat="false" ht="33.75" hidden="false" customHeight="true" outlineLevel="0" collapsed="false">
      <c r="A193" s="23" t="n">
        <f aca="false">問題一覧!A193</f>
        <v>192</v>
      </c>
      <c r="B193" s="23" t="str">
        <f aca="false">問題一覧!B193</f>
        <v>小児麻酔</v>
      </c>
      <c r="C193" s="7" t="str">
        <f aca="false">問題一覧!D193</f>
        <v>小児の術前絶飲食時間の目安は。</v>
      </c>
      <c r="D193" s="23" t="str">
        <f aca="false">問題一覧!G193&amp;"個"</f>
        <v>3個</v>
      </c>
      <c r="E193" s="7"/>
      <c r="F193" s="23"/>
    </row>
    <row r="194" customFormat="false" ht="33.75" hidden="false" customHeight="true" outlineLevel="0" collapsed="false">
      <c r="A194" s="23" t="n">
        <f aca="false">問題一覧!A194</f>
        <v>193</v>
      </c>
      <c r="B194" s="23" t="str">
        <f aca="false">問題一覧!B194</f>
        <v>小児麻酔</v>
      </c>
      <c r="C194" s="7" t="str">
        <f aca="false">問題一覧!D194</f>
        <v>小児の気道の解剖学的特徴は。</v>
      </c>
      <c r="D194" s="23" t="str">
        <f aca="false">問題一覧!G194&amp;"個"</f>
        <v>3個</v>
      </c>
      <c r="E194" s="7"/>
      <c r="F194" s="23"/>
    </row>
    <row r="195" customFormat="false" ht="33.75" hidden="false" customHeight="true" outlineLevel="0" collapsed="false">
      <c r="A195" s="23" t="n">
        <f aca="false">問題一覧!A195</f>
        <v>194</v>
      </c>
      <c r="B195" s="23" t="str">
        <f aca="false">問題一覧!B195</f>
        <v>小児麻酔</v>
      </c>
      <c r="C195" s="7" t="str">
        <f aca="false">問題一覧!D195</f>
        <v>小児の気管チューブのサイズと深さの目安は。</v>
      </c>
      <c r="D195" s="23" t="str">
        <f aca="false">問題一覧!G195&amp;"個"</f>
        <v>3個</v>
      </c>
      <c r="E195" s="7"/>
      <c r="F195" s="23"/>
    </row>
    <row r="196" customFormat="false" ht="33.75" hidden="false" customHeight="true" outlineLevel="0" collapsed="false">
      <c r="A196" s="23" t="n">
        <f aca="false">問題一覧!A196</f>
        <v>195</v>
      </c>
      <c r="B196" s="23" t="str">
        <f aca="false">問題一覧!B196</f>
        <v>小児麻酔</v>
      </c>
      <c r="C196" s="7" t="str">
        <f aca="false">問題一覧!D196</f>
        <v>喉頭痙攣の対応は。</v>
      </c>
      <c r="D196" s="23" t="str">
        <f aca="false">問題一覧!G196&amp;"個"</f>
        <v>3個</v>
      </c>
      <c r="E196" s="7"/>
      <c r="F196" s="23"/>
    </row>
    <row r="197" customFormat="false" ht="33.75" hidden="false" customHeight="true" outlineLevel="0" collapsed="false">
      <c r="A197" s="23" t="n">
        <f aca="false">問題一覧!A197</f>
        <v>196</v>
      </c>
      <c r="B197" s="23" t="str">
        <f aca="false">問題一覧!B197</f>
        <v>小児麻酔</v>
      </c>
      <c r="C197" s="7" t="str">
        <f aca="false">問題一覧!D197</f>
        <v>小児の維持輸液量（4-2-1ルール）は。</v>
      </c>
      <c r="D197" s="23" t="str">
        <f aca="false">問題一覧!G197&amp;"個"</f>
        <v>3個</v>
      </c>
      <c r="E197" s="7"/>
      <c r="F197" s="23"/>
    </row>
    <row r="198" customFormat="false" ht="33.75" hidden="false" customHeight="true" outlineLevel="0" collapsed="false">
      <c r="A198" s="23" t="n">
        <f aca="false">問題一覧!A198</f>
        <v>197</v>
      </c>
      <c r="B198" s="23" t="str">
        <f aca="false">問題一覧!B198</f>
        <v>小児麻酔</v>
      </c>
      <c r="C198" s="7" t="str">
        <f aca="false">問題一覧!D198</f>
        <v>小児の循環の特徴は。</v>
      </c>
      <c r="D198" s="23" t="str">
        <f aca="false">問題一覧!G198&amp;"個"</f>
        <v>3個</v>
      </c>
      <c r="E198" s="7"/>
      <c r="F198" s="23"/>
    </row>
    <row r="199" customFormat="false" ht="33.75" hidden="false" customHeight="true" outlineLevel="0" collapsed="false">
      <c r="A199" s="23" t="n">
        <f aca="false">問題一覧!A199</f>
        <v>198</v>
      </c>
      <c r="B199" s="23" t="str">
        <f aca="false">問題一覧!B199</f>
        <v>小児麻酔</v>
      </c>
      <c r="C199" s="7" t="str">
        <f aca="false">問題一覧!D199</f>
        <v>小児の術中徐脈・低酸素への対応は。</v>
      </c>
      <c r="D199" s="23" t="str">
        <f aca="false">問題一覧!G199&amp;"個"</f>
        <v>3個</v>
      </c>
      <c r="E199" s="7"/>
      <c r="F199" s="23"/>
    </row>
    <row r="200" customFormat="false" ht="33.75" hidden="false" customHeight="true" outlineLevel="0" collapsed="false">
      <c r="A200" s="23" t="n">
        <f aca="false">問題一覧!A200</f>
        <v>199</v>
      </c>
      <c r="B200" s="23" t="str">
        <f aca="false">問題一覧!B200</f>
        <v>小児麻酔</v>
      </c>
      <c r="C200" s="7" t="str">
        <f aca="false">問題一覧!D200</f>
        <v>小児でよく使う薬の体重あたりの用量は。</v>
      </c>
      <c r="D200" s="23" t="str">
        <f aca="false">問題一覧!G200&amp;"個"</f>
        <v>3個</v>
      </c>
      <c r="E200" s="7"/>
      <c r="F200" s="23"/>
    </row>
    <row r="201" customFormat="false" ht="33.75" hidden="false" customHeight="true" outlineLevel="0" collapsed="false">
      <c r="A201" s="23" t="n">
        <f aca="false">問題一覧!A201</f>
        <v>200</v>
      </c>
      <c r="B201" s="23" t="str">
        <f aca="false">問題一覧!B201</f>
        <v>小児麻酔</v>
      </c>
      <c r="C201" s="7" t="str">
        <f aca="false">問題一覧!D201</f>
        <v>覚醒時興奮（emergence delirium）の予防は。</v>
      </c>
      <c r="D201" s="23" t="str">
        <f aca="false">問題一覧!G201&amp;"個"</f>
        <v>3個</v>
      </c>
      <c r="E201" s="7"/>
      <c r="F201" s="23"/>
    </row>
    <row r="202" customFormat="false" ht="33.75" hidden="false" customHeight="true" outlineLevel="0" collapsed="false">
      <c r="A202" s="23" t="n">
        <f aca="false">問題一覧!A202</f>
        <v>201</v>
      </c>
      <c r="B202" s="23" t="str">
        <f aca="false">問題一覧!B202</f>
        <v>小児麻酔</v>
      </c>
      <c r="C202" s="7" t="str">
        <f aca="false">問題一覧!D202</f>
        <v>小児の術後に起こりやすい合併症は。</v>
      </c>
      <c r="D202" s="23" t="str">
        <f aca="false">問題一覧!G202&amp;"個"</f>
        <v>3個</v>
      </c>
      <c r="E202" s="7"/>
      <c r="F202" s="23"/>
    </row>
    <row r="203" customFormat="false" ht="33.75" hidden="false" customHeight="true" outlineLevel="0" collapsed="false">
      <c r="A203" s="23" t="n">
        <f aca="false">問題一覧!A203</f>
        <v>202</v>
      </c>
      <c r="B203" s="23" t="str">
        <f aca="false">問題一覧!B203</f>
        <v>小児麻酔</v>
      </c>
      <c r="C203" s="7" t="str">
        <f aca="false">問題一覧!D203</f>
        <v>元早産児の術後無呼吸への対応は。</v>
      </c>
      <c r="D203" s="23" t="str">
        <f aca="false">問題一覧!G203&amp;"個"</f>
        <v>3個</v>
      </c>
      <c r="E203" s="7"/>
      <c r="F203" s="23"/>
    </row>
    <row r="204" customFormat="false" ht="33.75" hidden="false" customHeight="true" outlineLevel="0" collapsed="false">
      <c r="A204" s="23" t="n">
        <f aca="false">問題一覧!A204</f>
        <v>203</v>
      </c>
      <c r="B204" s="23" t="str">
        <f aca="false">問題一覧!B204</f>
        <v>小児麻酔</v>
      </c>
      <c r="C204" s="7" t="str">
        <f aca="false">問題一覧!D204</f>
        <v>上気道感染のある小児の手術可否の判断は。</v>
      </c>
      <c r="D204" s="23" t="str">
        <f aca="false">問題一覧!G204&amp;"個"</f>
        <v>3個</v>
      </c>
      <c r="E204" s="7"/>
      <c r="F204" s="23"/>
    </row>
    <row r="205" customFormat="false" ht="33.75" hidden="false" customHeight="true" outlineLevel="0" collapsed="false">
      <c r="A205" s="23" t="n">
        <f aca="false">問題一覧!A205</f>
        <v>204</v>
      </c>
      <c r="B205" s="23" t="str">
        <f aca="false">問題一覧!B205</f>
        <v>小児麻酔</v>
      </c>
      <c r="C205" s="7" t="str">
        <f aca="false">問題一覧!D205</f>
        <v>小児の体温管理の注意点は。</v>
      </c>
      <c r="D205" s="23" t="str">
        <f aca="false">問題一覧!G205&amp;"個"</f>
        <v>3個</v>
      </c>
      <c r="E205" s="7"/>
      <c r="F205" s="23"/>
    </row>
    <row r="206" customFormat="false" ht="33.75" hidden="false" customHeight="true" outlineLevel="0" collapsed="false">
      <c r="A206" s="23" t="n">
        <f aca="false">問題一覧!A206</f>
        <v>205</v>
      </c>
      <c r="B206" s="23" t="str">
        <f aca="false">問題一覧!B206</f>
        <v>小児麻酔</v>
      </c>
      <c r="C206" s="7" t="str">
        <f aca="false">問題一覧!D206</f>
        <v>小児の緩徐導入（吸入導入）の注意点は。</v>
      </c>
      <c r="D206" s="23" t="str">
        <f aca="false">問題一覧!G206&amp;"個"</f>
        <v>3個</v>
      </c>
      <c r="E206" s="7"/>
      <c r="F206" s="23"/>
    </row>
    <row r="207" customFormat="false" ht="33.75" hidden="false" customHeight="true" outlineLevel="0" collapsed="false">
      <c r="A207" s="23" t="n">
        <f aca="false">問題一覧!A207</f>
        <v>206</v>
      </c>
      <c r="B207" s="23" t="str">
        <f aca="false">問題一覧!B207</f>
        <v>小児麻酔</v>
      </c>
      <c r="C207" s="7" t="str">
        <f aca="false">問題一覧!D207</f>
        <v>小児の仙骨硬膜外ブロックの適応と注意点は。</v>
      </c>
      <c r="D207" s="23" t="str">
        <f aca="false">問題一覧!G207&amp;"個"</f>
        <v>3個</v>
      </c>
      <c r="E207" s="7"/>
      <c r="F207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24" t="s">
        <v>1</v>
      </c>
      <c r="B1" s="24" t="s">
        <v>561</v>
      </c>
      <c r="C1" s="24" t="s">
        <v>562</v>
      </c>
    </row>
    <row r="2" customFormat="false" ht="15" hidden="false" customHeight="false" outlineLevel="0" collapsed="false">
      <c r="A2" s="25" t="s">
        <v>9</v>
      </c>
      <c r="B2" s="25" t="n">
        <f aca="false">COUNTIF(問題一覧!$B$2:$B$207,A2)</f>
        <v>22</v>
      </c>
      <c r="C2" s="26" t="n">
        <f aca="false">IFERROR(B2/$B$11,0)</f>
        <v>0.106796116504854</v>
      </c>
    </row>
    <row r="3" customFormat="false" ht="15" hidden="false" customHeight="false" outlineLevel="0" collapsed="false">
      <c r="A3" s="25" t="s">
        <v>69</v>
      </c>
      <c r="B3" s="25" t="n">
        <f aca="false">COUNTIF(問題一覧!$B$2:$B$207,A3)</f>
        <v>38</v>
      </c>
      <c r="C3" s="26" t="n">
        <f aca="false">IFERROR(B3/$B$11,0)</f>
        <v>0.184466019417476</v>
      </c>
    </row>
    <row r="4" customFormat="false" ht="15" hidden="false" customHeight="false" outlineLevel="0" collapsed="false">
      <c r="A4" s="25" t="s">
        <v>160</v>
      </c>
      <c r="B4" s="25" t="n">
        <f aca="false">COUNTIF(問題一覧!$B$2:$B$207,A4)</f>
        <v>20</v>
      </c>
      <c r="C4" s="26" t="n">
        <f aca="false">IFERROR(B4/$B$11,0)</f>
        <v>0.0970873786407767</v>
      </c>
    </row>
    <row r="5" customFormat="false" ht="15" hidden="false" customHeight="false" outlineLevel="0" collapsed="false">
      <c r="A5" s="25" t="s">
        <v>208</v>
      </c>
      <c r="B5" s="25" t="n">
        <f aca="false">COUNTIF(問題一覧!$B$2:$B$207,A5)</f>
        <v>39</v>
      </c>
      <c r="C5" s="26" t="n">
        <f aca="false">IFERROR(B5/$B$11,0)</f>
        <v>0.189320388349515</v>
      </c>
    </row>
    <row r="6" customFormat="false" ht="15" hidden="false" customHeight="false" outlineLevel="0" collapsed="false">
      <c r="A6" s="25" t="s">
        <v>323</v>
      </c>
      <c r="B6" s="25" t="n">
        <f aca="false">COUNTIF(問題一覧!$B$2:$B$207,A6)</f>
        <v>30</v>
      </c>
      <c r="C6" s="26" t="n">
        <f aca="false">IFERROR(B6/$B$11,0)</f>
        <v>0.145631067961165</v>
      </c>
    </row>
    <row r="7" customFormat="false" ht="15" hidden="false" customHeight="false" outlineLevel="0" collapsed="false">
      <c r="A7" s="25" t="s">
        <v>404</v>
      </c>
      <c r="B7" s="25" t="n">
        <f aca="false">COUNTIF(問題一覧!$B$2:$B$207,A7)</f>
        <v>14</v>
      </c>
      <c r="C7" s="26" t="n">
        <f aca="false">IFERROR(B7/$B$11,0)</f>
        <v>0.0679611650485437</v>
      </c>
    </row>
    <row r="8" customFormat="false" ht="15" hidden="false" customHeight="false" outlineLevel="0" collapsed="false">
      <c r="A8" s="25" t="s">
        <v>444</v>
      </c>
      <c r="B8" s="25" t="n">
        <f aca="false">COUNTIF(問題一覧!$B$2:$B$207,A8)</f>
        <v>13</v>
      </c>
      <c r="C8" s="26" t="n">
        <f aca="false">IFERROR(B8/$B$11,0)</f>
        <v>0.0631067961165049</v>
      </c>
    </row>
    <row r="9" customFormat="false" ht="15" hidden="false" customHeight="false" outlineLevel="0" collapsed="false">
      <c r="A9" s="25" t="s">
        <v>480</v>
      </c>
      <c r="B9" s="25" t="n">
        <f aca="false">COUNTIF(問題一覧!$B$2:$B$207,A9)</f>
        <v>15</v>
      </c>
      <c r="C9" s="26" t="n">
        <f aca="false">IFERROR(B9/$B$11,0)</f>
        <v>0.0728155339805825</v>
      </c>
    </row>
    <row r="10" customFormat="false" ht="15" hidden="false" customHeight="false" outlineLevel="0" collapsed="false">
      <c r="A10" s="25" t="s">
        <v>521</v>
      </c>
      <c r="B10" s="25" t="n">
        <f aca="false">COUNTIF(問題一覧!$B$2:$B$207,A10)</f>
        <v>15</v>
      </c>
      <c r="C10" s="26" t="n">
        <f aca="false">IFERROR(B10/$B$11,0)</f>
        <v>0.0728155339805825</v>
      </c>
    </row>
    <row r="11" customFormat="false" ht="15" hidden="false" customHeight="false" outlineLevel="0" collapsed="false">
      <c r="A11" s="27" t="s">
        <v>563</v>
      </c>
      <c r="B11" s="27" t="n">
        <f aca="false">SUM(B2:B10)</f>
        <v>206</v>
      </c>
      <c r="C11" s="28" t="n">
        <f aca="false">IFERROR(B11/$B$11,0)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9" t="s">
        <v>564</v>
      </c>
    </row>
    <row r="2" customFormat="false" ht="15" hidden="false" customHeight="false" outlineLevel="0" collapsed="false">
      <c r="A2" s="30"/>
    </row>
    <row r="3" customFormat="false" ht="15" hidden="false" customHeight="false" outlineLevel="0" collapsed="false">
      <c r="A3" s="31" t="s">
        <v>565</v>
      </c>
    </row>
    <row r="4" customFormat="false" ht="15" hidden="false" customHeight="false" outlineLevel="0" collapsed="false">
      <c r="A4" s="32" t="s">
        <v>566</v>
      </c>
    </row>
    <row r="5" customFormat="false" ht="15" hidden="false" customHeight="false" outlineLevel="0" collapsed="false">
      <c r="A5" s="32" t="s">
        <v>567</v>
      </c>
    </row>
    <row r="6" customFormat="false" ht="15" hidden="false" customHeight="false" outlineLevel="0" collapsed="false">
      <c r="A6" s="32" t="s">
        <v>568</v>
      </c>
    </row>
    <row r="7" customFormat="false" ht="15" hidden="false" customHeight="false" outlineLevel="0" collapsed="false">
      <c r="A7" s="30"/>
    </row>
    <row r="8" customFormat="false" ht="15" hidden="false" customHeight="false" outlineLevel="0" collapsed="false">
      <c r="A8" s="31" t="s">
        <v>569</v>
      </c>
    </row>
    <row r="9" customFormat="false" ht="17.15" hidden="false" customHeight="false" outlineLevel="0" collapsed="false">
      <c r="A9" s="30" t="s">
        <v>570</v>
      </c>
    </row>
    <row r="10" customFormat="false" ht="17.15" hidden="false" customHeight="false" outlineLevel="0" collapsed="false">
      <c r="A10" s="30" t="s">
        <v>571</v>
      </c>
    </row>
    <row r="11" customFormat="false" ht="17.15" hidden="false" customHeight="false" outlineLevel="0" collapsed="false">
      <c r="A11" s="30" t="s">
        <v>572</v>
      </c>
    </row>
    <row r="12" customFormat="false" ht="17.15" hidden="false" customHeight="false" outlineLevel="0" collapsed="false">
      <c r="A12" s="30" t="s">
        <v>573</v>
      </c>
    </row>
    <row r="13" customFormat="false" ht="15" hidden="false" customHeight="false" outlineLevel="0" collapsed="false">
      <c r="A13" s="30"/>
    </row>
    <row r="14" customFormat="false" ht="15" hidden="false" customHeight="false" outlineLevel="0" collapsed="false">
      <c r="A14" s="31" t="s">
        <v>574</v>
      </c>
    </row>
    <row r="15" customFormat="false" ht="17.15" hidden="false" customHeight="false" outlineLevel="0" collapsed="false">
      <c r="A15" s="32" t="s">
        <v>575</v>
      </c>
    </row>
    <row r="16" customFormat="false" ht="15" hidden="false" customHeight="false" outlineLevel="0" collapsed="false">
      <c r="A16" s="32" t="s">
        <v>576</v>
      </c>
    </row>
    <row r="17" customFormat="false" ht="17.15" hidden="false" customHeight="false" outlineLevel="0" collapsed="false">
      <c r="A17" s="32" t="s">
        <v>577</v>
      </c>
    </row>
    <row r="18" customFormat="false" ht="15" hidden="false" customHeight="false" outlineLevel="0" collapsed="false">
      <c r="A18" s="30"/>
    </row>
    <row r="19" customFormat="false" ht="15" hidden="false" customHeight="false" outlineLevel="0" collapsed="false">
      <c r="A19" s="31" t="s">
        <v>578</v>
      </c>
    </row>
    <row r="20" customFormat="false" ht="15" hidden="false" customHeight="false" outlineLevel="0" collapsed="false">
      <c r="A20" s="32" t="s">
        <v>579</v>
      </c>
    </row>
    <row r="21" customFormat="false" ht="17.15" hidden="false" customHeight="false" outlineLevel="0" collapsed="false">
      <c r="A21" s="32" t="s">
        <v>580</v>
      </c>
    </row>
    <row r="22" customFormat="false" ht="15" hidden="false" customHeight="false" outlineLevel="0" collapsed="false">
      <c r="A22" s="32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2026-08-01T12:46:04Z</dcterms:created>
  <dc:creator>openpyxl</dc:creator>
  <dc:description/>
  <dc:language>en-US</dc:language>
  <cp:lastModifiedBy/>
  <dcterms:modified xsi:type="dcterms:W3CDTF">2026-08-01T12:46:04Z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