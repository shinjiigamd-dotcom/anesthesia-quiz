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simb/Developer/麻酔quize_files/"/>
    </mc:Choice>
  </mc:AlternateContent>
  <xr:revisionPtr revIDLastSave="0" documentId="13_ncr:1_{A34C5A4F-569A-844C-A421-DA7BCECC3D8C}" xr6:coauthVersionLast="47" xr6:coauthVersionMax="47" xr10:uidLastSave="{00000000-0000-0000-0000-000000000000}"/>
  <bookViews>
    <workbookView xWindow="0" yWindow="780" windowWidth="28380" windowHeight="18620" tabRatio="500" activeTab="1" xr2:uid="{00000000-000D-0000-FFFF-FFFF00000000}"/>
  </bookViews>
  <sheets>
    <sheet name="問題一覧" sheetId="1" r:id="rId1"/>
    <sheet name="出題用（解答欄）" sheetId="2" r:id="rId2"/>
    <sheet name="分野別集計" sheetId="3" r:id="rId3"/>
    <sheet name="使い方・凡例" sheetId="4" r:id="rId4"/>
  </sheets>
  <definedNames>
    <definedName name="_xlnm._FilterDatabase" localSheetId="0" hidden="1">問題一覧!$A$1:$I$207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9" i="3" l="1"/>
  <c r="B8" i="3"/>
  <c r="B7" i="3"/>
  <c r="B6" i="3"/>
  <c r="B5" i="3"/>
  <c r="B4" i="3"/>
  <c r="B3" i="3"/>
  <c r="B2" i="3"/>
  <c r="B198" i="2"/>
  <c r="C198" i="2"/>
  <c r="D198" i="2"/>
  <c r="B199" i="2"/>
  <c r="C199" i="2"/>
  <c r="D199" i="2"/>
  <c r="B200" i="2"/>
  <c r="C200" i="2"/>
  <c r="D200" i="2"/>
  <c r="B201" i="2"/>
  <c r="C201" i="2"/>
  <c r="D201" i="2"/>
  <c r="F198" i="1"/>
  <c r="G198" i="1" s="1"/>
  <c r="F199" i="1"/>
  <c r="G199" i="1" s="1"/>
  <c r="F200" i="1"/>
  <c r="G200" i="1" s="1"/>
  <c r="F201" i="1"/>
  <c r="G201" i="1" s="1"/>
  <c r="B197" i="2"/>
  <c r="C197" i="2"/>
  <c r="F197" i="1"/>
  <c r="G197" i="1" s="1"/>
  <c r="D197" i="2" s="1"/>
  <c r="C196" i="2"/>
  <c r="B196" i="2"/>
  <c r="F196" i="1"/>
  <c r="G196" i="1" s="1"/>
  <c r="D196" i="2" s="1"/>
  <c r="A25" i="2"/>
  <c r="B10" i="3"/>
  <c r="C195" i="2"/>
  <c r="B195" i="2"/>
  <c r="A207" i="2"/>
  <c r="C194" i="2"/>
  <c r="B194" i="2"/>
  <c r="A206" i="2"/>
  <c r="C193" i="2"/>
  <c r="B193" i="2"/>
  <c r="A205" i="2"/>
  <c r="C192" i="2"/>
  <c r="B192" i="2"/>
  <c r="A204" i="2"/>
  <c r="C191" i="2"/>
  <c r="B191" i="2"/>
  <c r="A203" i="2"/>
  <c r="C190" i="2"/>
  <c r="B190" i="2"/>
  <c r="A202" i="2"/>
  <c r="C189" i="2"/>
  <c r="B189" i="2"/>
  <c r="A201" i="2"/>
  <c r="C188" i="2"/>
  <c r="B188" i="2"/>
  <c r="A200" i="2"/>
  <c r="C187" i="2"/>
  <c r="B187" i="2"/>
  <c r="A199" i="2"/>
  <c r="C186" i="2"/>
  <c r="B186" i="2"/>
  <c r="A198" i="2"/>
  <c r="C185" i="2"/>
  <c r="B185" i="2"/>
  <c r="A197" i="2"/>
  <c r="C184" i="2"/>
  <c r="B184" i="2"/>
  <c r="A196" i="2"/>
  <c r="C183" i="2"/>
  <c r="B183" i="2"/>
  <c r="A195" i="2"/>
  <c r="C182" i="2"/>
  <c r="B182" i="2"/>
  <c r="A194" i="2"/>
  <c r="C181" i="2"/>
  <c r="B181" i="2"/>
  <c r="A193" i="2"/>
  <c r="C180" i="2"/>
  <c r="B180" i="2"/>
  <c r="A192" i="2"/>
  <c r="C179" i="2"/>
  <c r="B179" i="2"/>
  <c r="A191" i="2"/>
  <c r="C178" i="2"/>
  <c r="B178" i="2"/>
  <c r="A190" i="2"/>
  <c r="C177" i="2"/>
  <c r="B177" i="2"/>
  <c r="A189" i="2"/>
  <c r="C176" i="2"/>
  <c r="B176" i="2"/>
  <c r="A188" i="2"/>
  <c r="A187" i="2"/>
  <c r="C175" i="2"/>
  <c r="B175" i="2"/>
  <c r="A186" i="2"/>
  <c r="C174" i="2"/>
  <c r="B174" i="2"/>
  <c r="A185" i="2"/>
  <c r="C173" i="2"/>
  <c r="B173" i="2"/>
  <c r="A184" i="2"/>
  <c r="A183" i="2"/>
  <c r="C172" i="2"/>
  <c r="B172" i="2"/>
  <c r="A182" i="2"/>
  <c r="C171" i="2"/>
  <c r="B171" i="2"/>
  <c r="A181" i="2"/>
  <c r="C170" i="2"/>
  <c r="B170" i="2"/>
  <c r="A180" i="2"/>
  <c r="C169" i="2"/>
  <c r="B169" i="2"/>
  <c r="A179" i="2"/>
  <c r="C168" i="2"/>
  <c r="B168" i="2"/>
  <c r="A178" i="2"/>
  <c r="C167" i="2"/>
  <c r="B167" i="2"/>
  <c r="A177" i="2"/>
  <c r="C166" i="2"/>
  <c r="B166" i="2"/>
  <c r="A176" i="2"/>
  <c r="C165" i="2"/>
  <c r="B165" i="2"/>
  <c r="A175" i="2"/>
  <c r="C164" i="2"/>
  <c r="B164" i="2"/>
  <c r="A174" i="2"/>
  <c r="C163" i="2"/>
  <c r="B163" i="2"/>
  <c r="A173" i="2"/>
  <c r="C162" i="2"/>
  <c r="B162" i="2"/>
  <c r="A172" i="2"/>
  <c r="A171" i="2"/>
  <c r="C161" i="2"/>
  <c r="B161" i="2"/>
  <c r="A170" i="2"/>
  <c r="C160" i="2"/>
  <c r="B160" i="2"/>
  <c r="A169" i="2"/>
  <c r="C159" i="2"/>
  <c r="B159" i="2"/>
  <c r="A168" i="2"/>
  <c r="C158" i="2"/>
  <c r="B158" i="2"/>
  <c r="A167" i="2"/>
  <c r="C157" i="2"/>
  <c r="B157" i="2"/>
  <c r="A166" i="2"/>
  <c r="C156" i="2"/>
  <c r="B156" i="2"/>
  <c r="A165" i="2"/>
  <c r="C155" i="2"/>
  <c r="B155" i="2"/>
  <c r="A164" i="2"/>
  <c r="C154" i="2"/>
  <c r="B154" i="2"/>
  <c r="A163" i="2"/>
  <c r="C153" i="2"/>
  <c r="B153" i="2"/>
  <c r="A162" i="2"/>
  <c r="C152" i="2"/>
  <c r="B152" i="2"/>
  <c r="A161" i="2"/>
  <c r="C151" i="2"/>
  <c r="B151" i="2"/>
  <c r="A160" i="2"/>
  <c r="C150" i="2"/>
  <c r="B150" i="2"/>
  <c r="A159" i="2"/>
  <c r="C149" i="2"/>
  <c r="B149" i="2"/>
  <c r="A158" i="2"/>
  <c r="C148" i="2"/>
  <c r="B148" i="2"/>
  <c r="A157" i="2"/>
  <c r="C147" i="2"/>
  <c r="B147" i="2"/>
  <c r="A156" i="2"/>
  <c r="C146" i="2"/>
  <c r="B146" i="2"/>
  <c r="A155" i="2"/>
  <c r="C145" i="2"/>
  <c r="B145" i="2"/>
  <c r="A154" i="2"/>
  <c r="C144" i="2"/>
  <c r="B144" i="2"/>
  <c r="A153" i="2"/>
  <c r="C143" i="2"/>
  <c r="B143" i="2"/>
  <c r="A152" i="2"/>
  <c r="C142" i="2"/>
  <c r="B142" i="2"/>
  <c r="A151" i="2"/>
  <c r="C141" i="2"/>
  <c r="B141" i="2"/>
  <c r="A150" i="2"/>
  <c r="C140" i="2"/>
  <c r="B140" i="2"/>
  <c r="A149" i="2"/>
  <c r="C139" i="2"/>
  <c r="B139" i="2"/>
  <c r="A148" i="2"/>
  <c r="A147" i="2"/>
  <c r="C138" i="2"/>
  <c r="B138" i="2"/>
  <c r="A146" i="2"/>
  <c r="C137" i="2"/>
  <c r="B137" i="2"/>
  <c r="A145" i="2"/>
  <c r="C136" i="2"/>
  <c r="B136" i="2"/>
  <c r="A144" i="2"/>
  <c r="C135" i="2"/>
  <c r="B135" i="2"/>
  <c r="A143" i="2"/>
  <c r="C134" i="2"/>
  <c r="B134" i="2"/>
  <c r="A142" i="2"/>
  <c r="C133" i="2"/>
  <c r="B133" i="2"/>
  <c r="A141" i="2"/>
  <c r="C132" i="2"/>
  <c r="B132" i="2"/>
  <c r="A140" i="2"/>
  <c r="C131" i="2"/>
  <c r="B131" i="2"/>
  <c r="A139" i="2"/>
  <c r="C130" i="2"/>
  <c r="B130" i="2"/>
  <c r="A138" i="2"/>
  <c r="C129" i="2"/>
  <c r="B129" i="2"/>
  <c r="A137" i="2"/>
  <c r="C128" i="2"/>
  <c r="B128" i="2"/>
  <c r="A136" i="2"/>
  <c r="C127" i="2"/>
  <c r="B127" i="2"/>
  <c r="A135" i="2"/>
  <c r="C126" i="2"/>
  <c r="B126" i="2"/>
  <c r="A134" i="2"/>
  <c r="C125" i="2"/>
  <c r="B125" i="2"/>
  <c r="A133" i="2"/>
  <c r="C124" i="2"/>
  <c r="B124" i="2"/>
  <c r="A132" i="2"/>
  <c r="C123" i="2"/>
  <c r="B123" i="2"/>
  <c r="A131" i="2"/>
  <c r="C122" i="2"/>
  <c r="B122" i="2"/>
  <c r="A130" i="2"/>
  <c r="C121" i="2"/>
  <c r="B121" i="2"/>
  <c r="A129" i="2"/>
  <c r="C120" i="2"/>
  <c r="B120" i="2"/>
  <c r="A128" i="2"/>
  <c r="A127" i="2"/>
  <c r="C119" i="2"/>
  <c r="B119" i="2"/>
  <c r="A126" i="2"/>
  <c r="C118" i="2"/>
  <c r="B118" i="2"/>
  <c r="A125" i="2"/>
  <c r="C117" i="2"/>
  <c r="B117" i="2"/>
  <c r="A124" i="2"/>
  <c r="C116" i="2"/>
  <c r="B116" i="2"/>
  <c r="A123" i="2"/>
  <c r="C115" i="2"/>
  <c r="B115" i="2"/>
  <c r="A122" i="2"/>
  <c r="C114" i="2"/>
  <c r="B114" i="2"/>
  <c r="A121" i="2"/>
  <c r="C113" i="2"/>
  <c r="B113" i="2"/>
  <c r="A120" i="2"/>
  <c r="C112" i="2"/>
  <c r="B112" i="2"/>
  <c r="A119" i="2"/>
  <c r="C111" i="2"/>
  <c r="B111" i="2"/>
  <c r="A118" i="2"/>
  <c r="C110" i="2"/>
  <c r="B110" i="2"/>
  <c r="A117" i="2"/>
  <c r="C109" i="2"/>
  <c r="B109" i="2"/>
  <c r="A116" i="2"/>
  <c r="C108" i="2"/>
  <c r="B108" i="2"/>
  <c r="A115" i="2"/>
  <c r="A114" i="2"/>
  <c r="C107" i="2"/>
  <c r="B107" i="2"/>
  <c r="A113" i="2"/>
  <c r="C106" i="2"/>
  <c r="B106" i="2"/>
  <c r="A112" i="2"/>
  <c r="C105" i="2"/>
  <c r="B105" i="2"/>
  <c r="A111" i="2"/>
  <c r="C104" i="2"/>
  <c r="B104" i="2"/>
  <c r="A110" i="2"/>
  <c r="C103" i="2"/>
  <c r="B103" i="2"/>
  <c r="A109" i="2"/>
  <c r="C102" i="2"/>
  <c r="B102" i="2"/>
  <c r="A108" i="2"/>
  <c r="C101" i="2"/>
  <c r="B101" i="2"/>
  <c r="A107" i="2"/>
  <c r="C100" i="2"/>
  <c r="B100" i="2"/>
  <c r="A106" i="2"/>
  <c r="C99" i="2"/>
  <c r="B99" i="2"/>
  <c r="A105" i="2"/>
  <c r="C98" i="2"/>
  <c r="B98" i="2"/>
  <c r="A104" i="2"/>
  <c r="C97" i="2"/>
  <c r="B97" i="2"/>
  <c r="A103" i="2"/>
  <c r="C96" i="2"/>
  <c r="B96" i="2"/>
  <c r="A102" i="2"/>
  <c r="C95" i="2"/>
  <c r="B95" i="2"/>
  <c r="A101" i="2"/>
  <c r="C94" i="2"/>
  <c r="B94" i="2"/>
  <c r="A100" i="2"/>
  <c r="C93" i="2"/>
  <c r="B93" i="2"/>
  <c r="A99" i="2"/>
  <c r="C92" i="2"/>
  <c r="B92" i="2"/>
  <c r="A98" i="2"/>
  <c r="C91" i="2"/>
  <c r="B91" i="2"/>
  <c r="A97" i="2"/>
  <c r="C90" i="2"/>
  <c r="B90" i="2"/>
  <c r="A96" i="2"/>
  <c r="C89" i="2"/>
  <c r="B89" i="2"/>
  <c r="A95" i="2"/>
  <c r="C88" i="2"/>
  <c r="B88" i="2"/>
  <c r="A94" i="2"/>
  <c r="C87" i="2"/>
  <c r="B87" i="2"/>
  <c r="A93" i="2"/>
  <c r="C86" i="2"/>
  <c r="B86" i="2"/>
  <c r="A92" i="2"/>
  <c r="C85" i="2"/>
  <c r="B85" i="2"/>
  <c r="A91" i="2"/>
  <c r="C84" i="2"/>
  <c r="B84" i="2"/>
  <c r="A90" i="2"/>
  <c r="C83" i="2"/>
  <c r="B83" i="2"/>
  <c r="A89" i="2"/>
  <c r="C82" i="2"/>
  <c r="B82" i="2"/>
  <c r="A88" i="2"/>
  <c r="C81" i="2"/>
  <c r="B81" i="2"/>
  <c r="A87" i="2"/>
  <c r="C80" i="2"/>
  <c r="B80" i="2"/>
  <c r="A86" i="2"/>
  <c r="C79" i="2"/>
  <c r="B79" i="2"/>
  <c r="A85" i="2"/>
  <c r="C78" i="2"/>
  <c r="B78" i="2"/>
  <c r="A84" i="2"/>
  <c r="C77" i="2"/>
  <c r="B77" i="2"/>
  <c r="A83" i="2"/>
  <c r="C76" i="2"/>
  <c r="B76" i="2"/>
  <c r="A82" i="2"/>
  <c r="C75" i="2"/>
  <c r="B75" i="2"/>
  <c r="A81" i="2"/>
  <c r="C74" i="2"/>
  <c r="B74" i="2"/>
  <c r="A80" i="2"/>
  <c r="C73" i="2"/>
  <c r="B73" i="2"/>
  <c r="A79" i="2"/>
  <c r="C72" i="2"/>
  <c r="B72" i="2"/>
  <c r="A78" i="2"/>
  <c r="C71" i="2"/>
  <c r="B71" i="2"/>
  <c r="A77" i="2"/>
  <c r="C70" i="2"/>
  <c r="B70" i="2"/>
  <c r="A76" i="2"/>
  <c r="C69" i="2"/>
  <c r="B69" i="2"/>
  <c r="A75" i="2"/>
  <c r="C68" i="2"/>
  <c r="B68" i="2"/>
  <c r="A74" i="2"/>
  <c r="C67" i="2"/>
  <c r="B67" i="2"/>
  <c r="A73" i="2"/>
  <c r="C66" i="2"/>
  <c r="B66" i="2"/>
  <c r="A72" i="2"/>
  <c r="C65" i="2"/>
  <c r="B65" i="2"/>
  <c r="A71" i="2"/>
  <c r="C64" i="2"/>
  <c r="B64" i="2"/>
  <c r="A70" i="2"/>
  <c r="C63" i="2"/>
  <c r="B63" i="2"/>
  <c r="A69" i="2"/>
  <c r="C62" i="2"/>
  <c r="B62" i="2"/>
  <c r="A68" i="2"/>
  <c r="C61" i="2"/>
  <c r="B61" i="2"/>
  <c r="A67" i="2"/>
  <c r="C60" i="2"/>
  <c r="B60" i="2"/>
  <c r="A66" i="2"/>
  <c r="C59" i="2"/>
  <c r="B59" i="2"/>
  <c r="A65" i="2"/>
  <c r="C58" i="2"/>
  <c r="B58" i="2"/>
  <c r="A64" i="2"/>
  <c r="C57" i="2"/>
  <c r="B57" i="2"/>
  <c r="A63" i="2"/>
  <c r="C56" i="2"/>
  <c r="B56" i="2"/>
  <c r="A62" i="2"/>
  <c r="A61" i="2"/>
  <c r="C55" i="2"/>
  <c r="B55" i="2"/>
  <c r="A60" i="2"/>
  <c r="C54" i="2"/>
  <c r="B54" i="2"/>
  <c r="A59" i="2"/>
  <c r="C53" i="2"/>
  <c r="B53" i="2"/>
  <c r="A58" i="2"/>
  <c r="C52" i="2"/>
  <c r="B52" i="2"/>
  <c r="A57" i="2"/>
  <c r="C51" i="2"/>
  <c r="B51" i="2"/>
  <c r="A56" i="2"/>
  <c r="C50" i="2"/>
  <c r="B50" i="2"/>
  <c r="A55" i="2"/>
  <c r="C49" i="2"/>
  <c r="B49" i="2"/>
  <c r="A54" i="2"/>
  <c r="C48" i="2"/>
  <c r="B48" i="2"/>
  <c r="A53" i="2"/>
  <c r="C47" i="2"/>
  <c r="B47" i="2"/>
  <c r="A52" i="2"/>
  <c r="C46" i="2"/>
  <c r="B46" i="2"/>
  <c r="A51" i="2"/>
  <c r="C45" i="2"/>
  <c r="B45" i="2"/>
  <c r="A50" i="2"/>
  <c r="C44" i="2"/>
  <c r="B44" i="2"/>
  <c r="A49" i="2"/>
  <c r="C43" i="2"/>
  <c r="B43" i="2"/>
  <c r="A48" i="2"/>
  <c r="C42" i="2"/>
  <c r="B42" i="2"/>
  <c r="A47" i="2"/>
  <c r="C41" i="2"/>
  <c r="B41" i="2"/>
  <c r="A46" i="2"/>
  <c r="C40" i="2"/>
  <c r="B40" i="2"/>
  <c r="A45" i="2"/>
  <c r="C39" i="2"/>
  <c r="B39" i="2"/>
  <c r="A44" i="2"/>
  <c r="C38" i="2"/>
  <c r="B38" i="2"/>
  <c r="A43" i="2"/>
  <c r="A42" i="2"/>
  <c r="C37" i="2"/>
  <c r="B37" i="2"/>
  <c r="A41" i="2"/>
  <c r="C36" i="2"/>
  <c r="B36" i="2"/>
  <c r="A40" i="2"/>
  <c r="C35" i="2"/>
  <c r="B35" i="2"/>
  <c r="A39" i="2"/>
  <c r="C34" i="2"/>
  <c r="B34" i="2"/>
  <c r="A38" i="2"/>
  <c r="A37" i="2"/>
  <c r="C33" i="2"/>
  <c r="B33" i="2"/>
  <c r="A36" i="2"/>
  <c r="C32" i="2"/>
  <c r="B32" i="2"/>
  <c r="A35" i="2"/>
  <c r="C31" i="2"/>
  <c r="B31" i="2"/>
  <c r="A34" i="2"/>
  <c r="A33" i="2"/>
  <c r="A32" i="2"/>
  <c r="C30" i="2"/>
  <c r="B30" i="2"/>
  <c r="A31" i="2"/>
  <c r="C29" i="2"/>
  <c r="B29" i="2"/>
  <c r="A30" i="2"/>
  <c r="C28" i="2"/>
  <c r="B28" i="2"/>
  <c r="A29" i="2"/>
  <c r="C27" i="2"/>
  <c r="B27" i="2"/>
  <c r="A28" i="2"/>
  <c r="C26" i="2"/>
  <c r="B26" i="2"/>
  <c r="A27" i="2"/>
  <c r="C25" i="2"/>
  <c r="B25" i="2"/>
  <c r="A26" i="2"/>
  <c r="C24" i="2"/>
  <c r="B24" i="2"/>
  <c r="A24" i="2"/>
  <c r="C23" i="2"/>
  <c r="B23" i="2"/>
  <c r="A23" i="2"/>
  <c r="C22" i="2"/>
  <c r="B22" i="2"/>
  <c r="A22" i="2"/>
  <c r="C21" i="2"/>
  <c r="B21" i="2"/>
  <c r="A21" i="2"/>
  <c r="C20" i="2"/>
  <c r="B20" i="2"/>
  <c r="A20" i="2"/>
  <c r="C19" i="2"/>
  <c r="B19" i="2"/>
  <c r="A19" i="2"/>
  <c r="C18" i="2"/>
  <c r="B18" i="2"/>
  <c r="A18" i="2"/>
  <c r="C17" i="2"/>
  <c r="B17" i="2"/>
  <c r="A17" i="2"/>
  <c r="C16" i="2"/>
  <c r="B16" i="2"/>
  <c r="A16" i="2"/>
  <c r="C15" i="2"/>
  <c r="B15" i="2"/>
  <c r="A15" i="2"/>
  <c r="C14" i="2"/>
  <c r="B14" i="2"/>
  <c r="A14" i="2"/>
  <c r="C13" i="2"/>
  <c r="B13" i="2"/>
  <c r="A13" i="2"/>
  <c r="C12" i="2"/>
  <c r="B12" i="2"/>
  <c r="A12" i="2"/>
  <c r="C11" i="2"/>
  <c r="B11" i="2"/>
  <c r="A11" i="2"/>
  <c r="C10" i="2"/>
  <c r="B10" i="2"/>
  <c r="A10" i="2"/>
  <c r="C9" i="2"/>
  <c r="B9" i="2"/>
  <c r="A9" i="2"/>
  <c r="C8" i="2"/>
  <c r="B8" i="2"/>
  <c r="A8" i="2"/>
  <c r="C7" i="2"/>
  <c r="B7" i="2"/>
  <c r="A7" i="2"/>
  <c r="C6" i="2"/>
  <c r="B6" i="2"/>
  <c r="A6" i="2"/>
  <c r="C5" i="2"/>
  <c r="B5" i="2"/>
  <c r="A5" i="2"/>
  <c r="C4" i="2"/>
  <c r="B4" i="2"/>
  <c r="A4" i="2"/>
  <c r="C3" i="2"/>
  <c r="B3" i="2"/>
  <c r="A3" i="2"/>
  <c r="C2" i="2"/>
  <c r="B2" i="2"/>
  <c r="A2" i="2"/>
  <c r="F195" i="1"/>
  <c r="G195" i="1" s="1"/>
  <c r="D195" i="2" s="1"/>
  <c r="F194" i="1"/>
  <c r="G194" i="1" s="1"/>
  <c r="D194" i="2" s="1"/>
  <c r="F193" i="1"/>
  <c r="G193" i="1" s="1"/>
  <c r="D193" i="2" s="1"/>
  <c r="F192" i="1"/>
  <c r="G192" i="1" s="1"/>
  <c r="D192" i="2" s="1"/>
  <c r="F191" i="1"/>
  <c r="G191" i="1" s="1"/>
  <c r="D191" i="2" s="1"/>
  <c r="F190" i="1"/>
  <c r="G190" i="1" s="1"/>
  <c r="D190" i="2" s="1"/>
  <c r="F189" i="1"/>
  <c r="G189" i="1" s="1"/>
  <c r="D189" i="2" s="1"/>
  <c r="F188" i="1"/>
  <c r="G188" i="1" s="1"/>
  <c r="D188" i="2" s="1"/>
  <c r="F187" i="1"/>
  <c r="G187" i="1" s="1"/>
  <c r="D187" i="2" s="1"/>
  <c r="F186" i="1"/>
  <c r="G186" i="1" s="1"/>
  <c r="D186" i="2" s="1"/>
  <c r="F185" i="1"/>
  <c r="G185" i="1" s="1"/>
  <c r="D185" i="2" s="1"/>
  <c r="F184" i="1"/>
  <c r="G184" i="1" s="1"/>
  <c r="D184" i="2" s="1"/>
  <c r="F183" i="1"/>
  <c r="G183" i="1" s="1"/>
  <c r="D183" i="2" s="1"/>
  <c r="F182" i="1"/>
  <c r="G182" i="1" s="1"/>
  <c r="D182" i="2" s="1"/>
  <c r="F181" i="1"/>
  <c r="G181" i="1" s="1"/>
  <c r="D181" i="2" s="1"/>
  <c r="F180" i="1"/>
  <c r="G180" i="1" s="1"/>
  <c r="D180" i="2" s="1"/>
  <c r="F179" i="1"/>
  <c r="G179" i="1" s="1"/>
  <c r="D179" i="2" s="1"/>
  <c r="F178" i="1"/>
  <c r="G178" i="1" s="1"/>
  <c r="D178" i="2" s="1"/>
  <c r="F177" i="1"/>
  <c r="G177" i="1" s="1"/>
  <c r="D177" i="2" s="1"/>
  <c r="F176" i="1"/>
  <c r="G176" i="1" s="1"/>
  <c r="D176" i="2" s="1"/>
  <c r="F175" i="1"/>
  <c r="G175" i="1" s="1"/>
  <c r="D175" i="2" s="1"/>
  <c r="F174" i="1"/>
  <c r="G174" i="1" s="1"/>
  <c r="D174" i="2" s="1"/>
  <c r="F173" i="1"/>
  <c r="G173" i="1" s="1"/>
  <c r="D173" i="2" s="1"/>
  <c r="F172" i="1"/>
  <c r="G172" i="1" s="1"/>
  <c r="D172" i="2" s="1"/>
  <c r="F171" i="1"/>
  <c r="G171" i="1" s="1"/>
  <c r="D171" i="2" s="1"/>
  <c r="F170" i="1"/>
  <c r="G170" i="1" s="1"/>
  <c r="D170" i="2" s="1"/>
  <c r="F169" i="1"/>
  <c r="G169" i="1" s="1"/>
  <c r="D169" i="2" s="1"/>
  <c r="F168" i="1"/>
  <c r="G168" i="1" s="1"/>
  <c r="D168" i="2" s="1"/>
  <c r="F167" i="1"/>
  <c r="G167" i="1" s="1"/>
  <c r="D167" i="2" s="1"/>
  <c r="F166" i="1"/>
  <c r="G166" i="1" s="1"/>
  <c r="D166" i="2" s="1"/>
  <c r="F165" i="1"/>
  <c r="G165" i="1" s="1"/>
  <c r="D165" i="2" s="1"/>
  <c r="F164" i="1"/>
  <c r="G164" i="1" s="1"/>
  <c r="D164" i="2" s="1"/>
  <c r="F163" i="1"/>
  <c r="G163" i="1" s="1"/>
  <c r="D163" i="2" s="1"/>
  <c r="F162" i="1"/>
  <c r="G162" i="1" s="1"/>
  <c r="D162" i="2" s="1"/>
  <c r="F161" i="1"/>
  <c r="G161" i="1" s="1"/>
  <c r="D161" i="2" s="1"/>
  <c r="F160" i="1"/>
  <c r="G160" i="1" s="1"/>
  <c r="D160" i="2" s="1"/>
  <c r="F159" i="1"/>
  <c r="G159" i="1" s="1"/>
  <c r="D159" i="2" s="1"/>
  <c r="F158" i="1"/>
  <c r="G158" i="1" s="1"/>
  <c r="D158" i="2" s="1"/>
  <c r="F157" i="1"/>
  <c r="G157" i="1" s="1"/>
  <c r="D157" i="2" s="1"/>
  <c r="F156" i="1"/>
  <c r="G156" i="1" s="1"/>
  <c r="D156" i="2" s="1"/>
  <c r="F155" i="1"/>
  <c r="G155" i="1" s="1"/>
  <c r="D155" i="2" s="1"/>
  <c r="F154" i="1"/>
  <c r="G154" i="1" s="1"/>
  <c r="D154" i="2" s="1"/>
  <c r="F153" i="1"/>
  <c r="G153" i="1" s="1"/>
  <c r="D153" i="2" s="1"/>
  <c r="F152" i="1"/>
  <c r="G152" i="1" s="1"/>
  <c r="D152" i="2" s="1"/>
  <c r="F151" i="1"/>
  <c r="G151" i="1" s="1"/>
  <c r="D151" i="2" s="1"/>
  <c r="F150" i="1"/>
  <c r="G150" i="1" s="1"/>
  <c r="D150" i="2" s="1"/>
  <c r="F149" i="1"/>
  <c r="G149" i="1" s="1"/>
  <c r="D149" i="2" s="1"/>
  <c r="F148" i="1"/>
  <c r="G148" i="1" s="1"/>
  <c r="D148" i="2" s="1"/>
  <c r="F147" i="1"/>
  <c r="G147" i="1" s="1"/>
  <c r="D147" i="2" s="1"/>
  <c r="F146" i="1"/>
  <c r="G146" i="1" s="1"/>
  <c r="D146" i="2" s="1"/>
  <c r="F145" i="1"/>
  <c r="G145" i="1" s="1"/>
  <c r="D145" i="2" s="1"/>
  <c r="F144" i="1"/>
  <c r="G144" i="1" s="1"/>
  <c r="D144" i="2" s="1"/>
  <c r="F143" i="1"/>
  <c r="G143" i="1" s="1"/>
  <c r="D143" i="2" s="1"/>
  <c r="F142" i="1"/>
  <c r="G142" i="1" s="1"/>
  <c r="D142" i="2" s="1"/>
  <c r="F141" i="1"/>
  <c r="G141" i="1" s="1"/>
  <c r="D141" i="2" s="1"/>
  <c r="F140" i="1"/>
  <c r="G140" i="1" s="1"/>
  <c r="D140" i="2" s="1"/>
  <c r="F139" i="1"/>
  <c r="G139" i="1" s="1"/>
  <c r="D139" i="2" s="1"/>
  <c r="F138" i="1"/>
  <c r="G138" i="1" s="1"/>
  <c r="D138" i="2" s="1"/>
  <c r="F137" i="1"/>
  <c r="G137" i="1" s="1"/>
  <c r="D137" i="2" s="1"/>
  <c r="F136" i="1"/>
  <c r="G136" i="1" s="1"/>
  <c r="D136" i="2" s="1"/>
  <c r="F135" i="1"/>
  <c r="G135" i="1" s="1"/>
  <c r="D135" i="2" s="1"/>
  <c r="F134" i="1"/>
  <c r="G134" i="1" s="1"/>
  <c r="D134" i="2" s="1"/>
  <c r="F133" i="1"/>
  <c r="G133" i="1" s="1"/>
  <c r="D133" i="2" s="1"/>
  <c r="F132" i="1"/>
  <c r="G132" i="1" s="1"/>
  <c r="D132" i="2" s="1"/>
  <c r="F131" i="1"/>
  <c r="G131" i="1" s="1"/>
  <c r="D131" i="2" s="1"/>
  <c r="F130" i="1"/>
  <c r="G130" i="1" s="1"/>
  <c r="D130" i="2" s="1"/>
  <c r="F129" i="1"/>
  <c r="G129" i="1" s="1"/>
  <c r="D129" i="2" s="1"/>
  <c r="F128" i="1"/>
  <c r="G128" i="1" s="1"/>
  <c r="D128" i="2" s="1"/>
  <c r="F127" i="1"/>
  <c r="G127" i="1" s="1"/>
  <c r="D127" i="2" s="1"/>
  <c r="F126" i="1"/>
  <c r="G126" i="1" s="1"/>
  <c r="D126" i="2" s="1"/>
  <c r="F125" i="1"/>
  <c r="G125" i="1" s="1"/>
  <c r="D125" i="2" s="1"/>
  <c r="F124" i="1"/>
  <c r="G124" i="1" s="1"/>
  <c r="D124" i="2" s="1"/>
  <c r="F123" i="1"/>
  <c r="G123" i="1" s="1"/>
  <c r="D123" i="2" s="1"/>
  <c r="F122" i="1"/>
  <c r="G122" i="1" s="1"/>
  <c r="D122" i="2" s="1"/>
  <c r="F121" i="1"/>
  <c r="G121" i="1" s="1"/>
  <c r="D121" i="2" s="1"/>
  <c r="F120" i="1"/>
  <c r="G120" i="1" s="1"/>
  <c r="D120" i="2" s="1"/>
  <c r="F119" i="1"/>
  <c r="G119" i="1" s="1"/>
  <c r="D119" i="2" s="1"/>
  <c r="F118" i="1"/>
  <c r="G118" i="1" s="1"/>
  <c r="D118" i="2" s="1"/>
  <c r="F117" i="1"/>
  <c r="G117" i="1" s="1"/>
  <c r="D117" i="2" s="1"/>
  <c r="F116" i="1"/>
  <c r="G116" i="1" s="1"/>
  <c r="D116" i="2" s="1"/>
  <c r="F115" i="1"/>
  <c r="G115" i="1" s="1"/>
  <c r="D115" i="2" s="1"/>
  <c r="F114" i="1"/>
  <c r="G114" i="1" s="1"/>
  <c r="D114" i="2" s="1"/>
  <c r="F113" i="1"/>
  <c r="G113" i="1" s="1"/>
  <c r="D113" i="2" s="1"/>
  <c r="F112" i="1"/>
  <c r="G112" i="1" s="1"/>
  <c r="D112" i="2" s="1"/>
  <c r="F111" i="1"/>
  <c r="G111" i="1" s="1"/>
  <c r="D111" i="2" s="1"/>
  <c r="F110" i="1"/>
  <c r="G110" i="1" s="1"/>
  <c r="D110" i="2" s="1"/>
  <c r="F109" i="1"/>
  <c r="G109" i="1" s="1"/>
  <c r="D109" i="2" s="1"/>
  <c r="F108" i="1"/>
  <c r="G108" i="1" s="1"/>
  <c r="D108" i="2" s="1"/>
  <c r="F107" i="1"/>
  <c r="G107" i="1" s="1"/>
  <c r="D107" i="2" s="1"/>
  <c r="F106" i="1"/>
  <c r="G106" i="1" s="1"/>
  <c r="D106" i="2" s="1"/>
  <c r="F105" i="1"/>
  <c r="G105" i="1" s="1"/>
  <c r="D105" i="2" s="1"/>
  <c r="F104" i="1"/>
  <c r="G104" i="1" s="1"/>
  <c r="D104" i="2" s="1"/>
  <c r="F103" i="1"/>
  <c r="G103" i="1" s="1"/>
  <c r="D103" i="2" s="1"/>
  <c r="F102" i="1"/>
  <c r="G102" i="1" s="1"/>
  <c r="D102" i="2" s="1"/>
  <c r="F101" i="1"/>
  <c r="G101" i="1" s="1"/>
  <c r="D101" i="2" s="1"/>
  <c r="F100" i="1"/>
  <c r="G100" i="1" s="1"/>
  <c r="D100" i="2" s="1"/>
  <c r="F99" i="1"/>
  <c r="G99" i="1" s="1"/>
  <c r="D99" i="2" s="1"/>
  <c r="F98" i="1"/>
  <c r="G98" i="1" s="1"/>
  <c r="D98" i="2" s="1"/>
  <c r="F97" i="1"/>
  <c r="G97" i="1" s="1"/>
  <c r="D97" i="2" s="1"/>
  <c r="F96" i="1"/>
  <c r="G96" i="1" s="1"/>
  <c r="D96" i="2" s="1"/>
  <c r="F95" i="1"/>
  <c r="G95" i="1" s="1"/>
  <c r="D95" i="2" s="1"/>
  <c r="F94" i="1"/>
  <c r="G94" i="1" s="1"/>
  <c r="D94" i="2" s="1"/>
  <c r="F93" i="1"/>
  <c r="G93" i="1" s="1"/>
  <c r="D93" i="2" s="1"/>
  <c r="F92" i="1"/>
  <c r="G92" i="1" s="1"/>
  <c r="D92" i="2" s="1"/>
  <c r="F91" i="1"/>
  <c r="G91" i="1" s="1"/>
  <c r="D91" i="2" s="1"/>
  <c r="F90" i="1"/>
  <c r="G90" i="1" s="1"/>
  <c r="D90" i="2" s="1"/>
  <c r="F89" i="1"/>
  <c r="G89" i="1" s="1"/>
  <c r="D89" i="2" s="1"/>
  <c r="F88" i="1"/>
  <c r="G88" i="1" s="1"/>
  <c r="D88" i="2" s="1"/>
  <c r="F87" i="1"/>
  <c r="G87" i="1" s="1"/>
  <c r="D87" i="2" s="1"/>
  <c r="F86" i="1"/>
  <c r="G86" i="1" s="1"/>
  <c r="D86" i="2" s="1"/>
  <c r="F85" i="1"/>
  <c r="G85" i="1" s="1"/>
  <c r="D85" i="2" s="1"/>
  <c r="F84" i="1"/>
  <c r="G84" i="1" s="1"/>
  <c r="D84" i="2" s="1"/>
  <c r="F83" i="1"/>
  <c r="G83" i="1" s="1"/>
  <c r="D83" i="2" s="1"/>
  <c r="F82" i="1"/>
  <c r="G82" i="1" s="1"/>
  <c r="D82" i="2" s="1"/>
  <c r="F81" i="1"/>
  <c r="G81" i="1" s="1"/>
  <c r="D81" i="2" s="1"/>
  <c r="F80" i="1"/>
  <c r="G80" i="1" s="1"/>
  <c r="D80" i="2" s="1"/>
  <c r="F79" i="1"/>
  <c r="G79" i="1" s="1"/>
  <c r="D79" i="2" s="1"/>
  <c r="F78" i="1"/>
  <c r="G78" i="1" s="1"/>
  <c r="D78" i="2" s="1"/>
  <c r="F77" i="1"/>
  <c r="G77" i="1" s="1"/>
  <c r="D77" i="2" s="1"/>
  <c r="F76" i="1"/>
  <c r="G76" i="1" s="1"/>
  <c r="D76" i="2" s="1"/>
  <c r="F75" i="1"/>
  <c r="G75" i="1" s="1"/>
  <c r="D75" i="2" s="1"/>
  <c r="F74" i="1"/>
  <c r="G74" i="1" s="1"/>
  <c r="D74" i="2" s="1"/>
  <c r="F73" i="1"/>
  <c r="G73" i="1" s="1"/>
  <c r="D73" i="2" s="1"/>
  <c r="F72" i="1"/>
  <c r="G72" i="1" s="1"/>
  <c r="D72" i="2" s="1"/>
  <c r="F71" i="1"/>
  <c r="G71" i="1" s="1"/>
  <c r="D71" i="2" s="1"/>
  <c r="F70" i="1"/>
  <c r="G70" i="1" s="1"/>
  <c r="D70" i="2" s="1"/>
  <c r="F69" i="1"/>
  <c r="G69" i="1" s="1"/>
  <c r="D69" i="2" s="1"/>
  <c r="F68" i="1"/>
  <c r="G68" i="1" s="1"/>
  <c r="D68" i="2" s="1"/>
  <c r="F67" i="1"/>
  <c r="G67" i="1" s="1"/>
  <c r="D67" i="2" s="1"/>
  <c r="F66" i="1"/>
  <c r="G66" i="1" s="1"/>
  <c r="D66" i="2" s="1"/>
  <c r="F65" i="1"/>
  <c r="G65" i="1" s="1"/>
  <c r="D65" i="2" s="1"/>
  <c r="F64" i="1"/>
  <c r="G64" i="1" s="1"/>
  <c r="D64" i="2" s="1"/>
  <c r="F63" i="1"/>
  <c r="G63" i="1" s="1"/>
  <c r="D63" i="2" s="1"/>
  <c r="F62" i="1"/>
  <c r="G62" i="1" s="1"/>
  <c r="D62" i="2" s="1"/>
  <c r="F61" i="1"/>
  <c r="G61" i="1" s="1"/>
  <c r="D61" i="2" s="1"/>
  <c r="F60" i="1"/>
  <c r="G60" i="1" s="1"/>
  <c r="D60" i="2" s="1"/>
  <c r="F59" i="1"/>
  <c r="G59" i="1" s="1"/>
  <c r="D59" i="2" s="1"/>
  <c r="F58" i="1"/>
  <c r="G58" i="1" s="1"/>
  <c r="D58" i="2" s="1"/>
  <c r="F57" i="1"/>
  <c r="G57" i="1" s="1"/>
  <c r="D57" i="2" s="1"/>
  <c r="F56" i="1"/>
  <c r="G56" i="1" s="1"/>
  <c r="D56" i="2" s="1"/>
  <c r="F55" i="1"/>
  <c r="G55" i="1" s="1"/>
  <c r="D55" i="2" s="1"/>
  <c r="F54" i="1"/>
  <c r="G54" i="1" s="1"/>
  <c r="D54" i="2" s="1"/>
  <c r="F53" i="1"/>
  <c r="G53" i="1" s="1"/>
  <c r="D53" i="2" s="1"/>
  <c r="F52" i="1"/>
  <c r="G52" i="1" s="1"/>
  <c r="D52" i="2" s="1"/>
  <c r="F51" i="1"/>
  <c r="G51" i="1" s="1"/>
  <c r="D51" i="2" s="1"/>
  <c r="F50" i="1"/>
  <c r="G50" i="1" s="1"/>
  <c r="D50" i="2" s="1"/>
  <c r="F49" i="1"/>
  <c r="G49" i="1" s="1"/>
  <c r="D49" i="2" s="1"/>
  <c r="F48" i="1"/>
  <c r="G48" i="1" s="1"/>
  <c r="D48" i="2" s="1"/>
  <c r="F47" i="1"/>
  <c r="G47" i="1" s="1"/>
  <c r="D47" i="2" s="1"/>
  <c r="F46" i="1"/>
  <c r="G46" i="1" s="1"/>
  <c r="D46" i="2" s="1"/>
  <c r="F45" i="1"/>
  <c r="G45" i="1" s="1"/>
  <c r="D45" i="2" s="1"/>
  <c r="F44" i="1"/>
  <c r="G44" i="1" s="1"/>
  <c r="D44" i="2" s="1"/>
  <c r="F43" i="1"/>
  <c r="G43" i="1" s="1"/>
  <c r="D43" i="2" s="1"/>
  <c r="F42" i="1"/>
  <c r="G42" i="1" s="1"/>
  <c r="D42" i="2" s="1"/>
  <c r="F41" i="1"/>
  <c r="G41" i="1" s="1"/>
  <c r="D41" i="2" s="1"/>
  <c r="F40" i="1"/>
  <c r="G40" i="1" s="1"/>
  <c r="D40" i="2" s="1"/>
  <c r="F39" i="1"/>
  <c r="G39" i="1" s="1"/>
  <c r="D39" i="2" s="1"/>
  <c r="F38" i="1"/>
  <c r="G38" i="1" s="1"/>
  <c r="D38" i="2" s="1"/>
  <c r="F37" i="1"/>
  <c r="G37" i="1" s="1"/>
  <c r="D37" i="2" s="1"/>
  <c r="F36" i="1"/>
  <c r="G36" i="1" s="1"/>
  <c r="D36" i="2" s="1"/>
  <c r="F35" i="1"/>
  <c r="G35" i="1" s="1"/>
  <c r="D35" i="2" s="1"/>
  <c r="F34" i="1"/>
  <c r="G34" i="1" s="1"/>
  <c r="D34" i="2" s="1"/>
  <c r="F33" i="1"/>
  <c r="G33" i="1" s="1"/>
  <c r="D33" i="2" s="1"/>
  <c r="F32" i="1"/>
  <c r="G32" i="1" s="1"/>
  <c r="D32" i="2" s="1"/>
  <c r="F31" i="1"/>
  <c r="G31" i="1" s="1"/>
  <c r="D31" i="2" s="1"/>
  <c r="F30" i="1"/>
  <c r="G30" i="1" s="1"/>
  <c r="D30" i="2" s="1"/>
  <c r="F29" i="1"/>
  <c r="G29" i="1" s="1"/>
  <c r="D29" i="2" s="1"/>
  <c r="F28" i="1"/>
  <c r="G28" i="1" s="1"/>
  <c r="D28" i="2" s="1"/>
  <c r="F27" i="1"/>
  <c r="G27" i="1" s="1"/>
  <c r="D27" i="2" s="1"/>
  <c r="F26" i="1"/>
  <c r="G26" i="1" s="1"/>
  <c r="D26" i="2" s="1"/>
  <c r="F25" i="1"/>
  <c r="G25" i="1" s="1"/>
  <c r="D25" i="2" s="1"/>
  <c r="F24" i="1"/>
  <c r="G24" i="1" s="1"/>
  <c r="D24" i="2" s="1"/>
  <c r="F23" i="1"/>
  <c r="G23" i="1" s="1"/>
  <c r="D23" i="2" s="1"/>
  <c r="F22" i="1"/>
  <c r="G22" i="1" s="1"/>
  <c r="D22" i="2" s="1"/>
  <c r="F21" i="1"/>
  <c r="G21" i="1" s="1"/>
  <c r="D21" i="2" s="1"/>
  <c r="F20" i="1"/>
  <c r="G20" i="1" s="1"/>
  <c r="D20" i="2" s="1"/>
  <c r="F19" i="1"/>
  <c r="G19" i="1" s="1"/>
  <c r="D19" i="2" s="1"/>
  <c r="F18" i="1"/>
  <c r="G18" i="1" s="1"/>
  <c r="D18" i="2" s="1"/>
  <c r="F17" i="1"/>
  <c r="G17" i="1" s="1"/>
  <c r="D17" i="2" s="1"/>
  <c r="F16" i="1"/>
  <c r="G16" i="1" s="1"/>
  <c r="D16" i="2" s="1"/>
  <c r="F15" i="1"/>
  <c r="G15" i="1" s="1"/>
  <c r="D15" i="2" s="1"/>
  <c r="F14" i="1"/>
  <c r="G14" i="1" s="1"/>
  <c r="D14" i="2" s="1"/>
  <c r="F13" i="1"/>
  <c r="G13" i="1" s="1"/>
  <c r="D13" i="2" s="1"/>
  <c r="F12" i="1"/>
  <c r="G12" i="1" s="1"/>
  <c r="D12" i="2" s="1"/>
  <c r="F11" i="1"/>
  <c r="G11" i="1" s="1"/>
  <c r="D11" i="2" s="1"/>
  <c r="F10" i="1"/>
  <c r="G10" i="1" s="1"/>
  <c r="D10" i="2" s="1"/>
  <c r="F9" i="1"/>
  <c r="G9" i="1" s="1"/>
  <c r="D9" i="2" s="1"/>
  <c r="F8" i="1"/>
  <c r="G8" i="1" s="1"/>
  <c r="D8" i="2" s="1"/>
  <c r="F7" i="1"/>
  <c r="G7" i="1" s="1"/>
  <c r="D7" i="2" s="1"/>
  <c r="F6" i="1"/>
  <c r="G6" i="1" s="1"/>
  <c r="D6" i="2" s="1"/>
  <c r="F5" i="1"/>
  <c r="G5" i="1" s="1"/>
  <c r="D5" i="2" s="1"/>
  <c r="F4" i="1"/>
  <c r="G4" i="1" s="1"/>
  <c r="D4" i="2" s="1"/>
  <c r="F3" i="1"/>
  <c r="G3" i="1" s="1"/>
  <c r="D3" i="2" s="1"/>
  <c r="F2" i="1"/>
  <c r="G2" i="1" s="1"/>
  <c r="D2" i="2" s="1"/>
  <c r="B11" i="3" l="1"/>
  <c r="C4" i="3" s="1"/>
  <c r="C6" i="3" l="1"/>
  <c r="C11" i="3"/>
  <c r="C8" i="3"/>
  <c r="C7" i="3"/>
  <c r="C10" i="3"/>
  <c r="C9" i="3"/>
  <c r="C5" i="3"/>
  <c r="C2" i="3"/>
  <c r="C3" i="3"/>
</calcChain>
</file>

<file path=xl/sharedStrings.xml><?xml version="1.0" encoding="utf-8"?>
<sst xmlns="http://schemas.openxmlformats.org/spreadsheetml/2006/main" count="1046" uniqueCount="565">
  <si>
    <t>No.</t>
  </si>
  <si>
    <t>大分類</t>
  </si>
  <si>
    <t>小分類</t>
  </si>
  <si>
    <t>設問</t>
  </si>
  <si>
    <t>想定回答（キーワード）</t>
  </si>
  <si>
    <t>キーワード数</t>
  </si>
  <si>
    <t>必要解答数</t>
  </si>
  <si>
    <t>難易度</t>
  </si>
  <si>
    <t>備考</t>
  </si>
  <si>
    <t>術中維持の基本</t>
  </si>
  <si>
    <t>麻酔の要素</t>
  </si>
  <si>
    <r>
      <rPr>
        <sz val="11"/>
        <rFont val="Noto Sans CJK SC"/>
        <family val="2"/>
      </rPr>
      <t>全身麻酔の維持で満たすべき</t>
    </r>
    <r>
      <rPr>
        <sz val="11"/>
        <rFont val="游ゴシック"/>
        <family val="3"/>
        <charset val="128"/>
      </rPr>
      <t>3</t>
    </r>
    <r>
      <rPr>
        <sz val="11"/>
        <rFont val="Noto Sans CJK SC"/>
        <family val="2"/>
      </rPr>
      <t>要素は。</t>
    </r>
  </si>
  <si>
    <t>・鎮静（意識消失）
・鎮痛
・不動化（筋弛緩）
・（＋有害反射・自律神経反応の抑制）</t>
  </si>
  <si>
    <t>研修医</t>
  </si>
  <si>
    <t>モニタリング</t>
  </si>
  <si>
    <t>全身麻酔中の必須モニタを挙げよ。</t>
  </si>
  <si>
    <t>麻酔深度</t>
  </si>
  <si>
    <t>麻酔が浅いことを示唆する所見は。</t>
  </si>
  <si>
    <r>
      <rPr>
        <sz val="11"/>
        <rFont val="Noto Sans CJK SC"/>
        <family val="2"/>
      </rPr>
      <t>・血圧上昇
・頻脈
・体動・バッキング
・流涙・発汗
・瞳孔散大
・自発呼吸の出現
・</t>
    </r>
    <r>
      <rPr>
        <sz val="11"/>
        <rFont val="游ゴシック"/>
        <family val="3"/>
        <charset val="128"/>
      </rPr>
      <t>BIS</t>
    </r>
    <r>
      <rPr>
        <sz val="11"/>
        <rFont val="Noto Sans CJK SC"/>
        <family val="2"/>
      </rPr>
      <t>上昇</t>
    </r>
  </si>
  <si>
    <t>吸入麻酔薬</t>
  </si>
  <si>
    <r>
      <rPr>
        <sz val="11"/>
        <rFont val="游ゴシック"/>
        <family val="3"/>
        <charset val="128"/>
      </rPr>
      <t>MAC 1.0</t>
    </r>
    <r>
      <rPr>
        <sz val="11"/>
        <rFont val="Noto Sans CJK SC"/>
        <family val="2"/>
      </rPr>
      <t>とは何か。代表的な薬の値は。</t>
    </r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</si>
  <si>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50%</t>
    </r>
    <r>
      <rPr>
        <sz val="11"/>
        <rFont val="Noto Sans CJK SC"/>
        <family val="2"/>
      </rPr>
      <t>の患者が皮膚切開で体動しない呼気濃度
・セボフルラン 約</t>
    </r>
    <r>
      <rPr>
        <sz val="11"/>
        <rFont val="游ゴシック"/>
        <family val="3"/>
        <charset val="128"/>
      </rPr>
      <t>1.7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2.0%
</t>
    </r>
    <r>
      <rPr>
        <sz val="11"/>
        <rFont val="Noto Sans CJK SC"/>
        <family val="2"/>
      </rPr>
      <t>・デスフルラン 約</t>
    </r>
    <r>
      <rPr>
        <sz val="11"/>
        <rFont val="游ゴシック"/>
        <family val="3"/>
        <charset val="128"/>
      </rPr>
      <t xml:space="preserve">6%
</t>
    </r>
    <r>
      <rPr>
        <sz val="11"/>
        <rFont val="Noto Sans CJK SC"/>
        <family val="2"/>
      </rPr>
      <t>・亜酸化窒素 約</t>
    </r>
    <r>
      <rPr>
        <sz val="11"/>
        <rFont val="游ゴシック"/>
        <family val="3"/>
        <charset val="128"/>
      </rPr>
      <t>105%</t>
    </r>
  </si>
  <si>
    <r>
      <rPr>
        <sz val="11"/>
        <rFont val="游ゴシック"/>
        <family val="3"/>
        <charset val="128"/>
      </rPr>
      <t>MAC</t>
    </r>
    <r>
      <rPr>
        <sz val="11"/>
        <rFont val="Noto Sans CJK SC"/>
        <family val="2"/>
      </rPr>
      <t>を低下させる因子を挙げよ。</t>
    </r>
  </si>
  <si>
    <t>循環</t>
  </si>
  <si>
    <t>術中の頻脈の鑑別を挙げよ。</t>
  </si>
  <si>
    <r>
      <rPr>
        <sz val="11"/>
        <rFont val="Noto Sans CJK SC"/>
        <family val="2"/>
      </rPr>
      <t>・浅麻酔・疼痛
・循環血液量減少・出血
・低酸素・高</t>
    </r>
    <r>
      <rPr>
        <sz val="11"/>
        <rFont val="游ゴシック"/>
        <family val="3"/>
        <charset val="128"/>
      </rPr>
      <t xml:space="preserve">CO2
</t>
    </r>
    <r>
      <rPr>
        <sz val="11"/>
        <rFont val="Noto Sans CJK SC"/>
        <family val="2"/>
      </rPr>
      <t>・発熱・感染
・薬剤（アトロピン、エフェドリン、カテコラミン）
・甲状腺機能亢進
・悪性高熱</t>
    </r>
  </si>
  <si>
    <t>換気</t>
  </si>
  <si>
    <r>
      <rPr>
        <sz val="11"/>
        <rFont val="Noto Sans CJK SC"/>
        <family val="2"/>
      </rPr>
      <t>術中に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が上昇した。対応は。</t>
    </r>
  </si>
  <si>
    <t>・分時換気量を増やす
・無気肺ならリクルートメント
・チューブ・回路の異常確認
・ソーダライム消耗の確認
・気腹・止血帯解除の確認
・発熱・悪性高熱の除外</t>
  </si>
  <si>
    <r>
      <rPr>
        <sz val="11"/>
        <rFont val="Noto Sans CJK SC"/>
        <family val="2"/>
      </rPr>
      <t>術中に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が急に低下した。鑑別は。</t>
    </r>
  </si>
  <si>
    <t>・心停止・心拍出量低下
・肺塞栓・空気塞栓
・回路外れ・チューブ抜去
・気道閉塞・屈曲
・サンプリングラインの異常
・過換気</t>
  </si>
  <si>
    <t>輸液</t>
  </si>
  <si>
    <t>術中輸液の基本的な考え方は。</t>
  </si>
  <si>
    <r>
      <rPr>
        <sz val="11"/>
        <rFont val="Noto Sans CJK SC"/>
        <family val="2"/>
      </rPr>
      <t xml:space="preserve">・維持量 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2mL/kg/h
</t>
    </r>
    <r>
      <rPr>
        <sz val="11"/>
        <rFont val="Noto Sans CJK SC"/>
        <family val="2"/>
      </rPr>
      <t>・出血量・不感蒸泄の補充
・目標指向（</t>
    </r>
    <r>
      <rPr>
        <sz val="11"/>
        <rFont val="游ゴシック"/>
        <family val="3"/>
        <charset val="128"/>
      </rPr>
      <t>SVV/PPV</t>
    </r>
    <r>
      <rPr>
        <sz val="11"/>
        <rFont val="Noto Sans CJK SC"/>
        <family val="2"/>
      </rPr>
      <t>、乳酸値、尿量</t>
    </r>
    <r>
      <rPr>
        <sz val="11"/>
        <rFont val="游ゴシック"/>
        <family val="3"/>
        <charset val="128"/>
      </rPr>
      <t>0.5mL/kg/h</t>
    </r>
    <r>
      <rPr>
        <sz val="11"/>
        <rFont val="Noto Sans CJK SC"/>
        <family val="2"/>
      </rPr>
      <t>）
・晶質液が基本、大量なら膠質液・輸血
・過剰輸液は浮腫・合併症</t>
    </r>
  </si>
  <si>
    <t>術中の尿量が少ないときに考えることは。</t>
  </si>
  <si>
    <t>体温</t>
  </si>
  <si>
    <t>術中低体温を防ぐ方法は。</t>
  </si>
  <si>
    <r>
      <rPr>
        <sz val="11"/>
        <rFont val="Noto Sans CJK SC"/>
        <family val="2"/>
      </rPr>
      <t>・温風式加温装置
・輸液・輸血の加温
・室温を上げる
・術前からの加温（</t>
    </r>
    <r>
      <rPr>
        <sz val="11"/>
        <rFont val="游ゴシック"/>
        <family val="3"/>
        <charset val="128"/>
      </rPr>
      <t>prewarming</t>
    </r>
    <r>
      <rPr>
        <sz val="11"/>
        <rFont val="Noto Sans CJK SC"/>
        <family val="2"/>
      </rPr>
      <t>）
・露出部位の被覆</t>
    </r>
  </si>
  <si>
    <t>術中低体温による弊害は。</t>
  </si>
  <si>
    <t>出血</t>
  </si>
  <si>
    <t>大量出血時の輸血の目安は。</t>
  </si>
  <si>
    <t>気道</t>
  </si>
  <si>
    <t>気管挿管の直後に確認することは。</t>
  </si>
  <si>
    <t>体位</t>
  </si>
  <si>
    <t>体位変換の直後に確認することは。</t>
  </si>
  <si>
    <r>
      <rPr>
        <sz val="11"/>
        <rFont val="Noto Sans CJK SC"/>
        <family val="2"/>
      </rPr>
      <t>・気管チューブの位置（片肺挿管）
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・気道内圧
・血圧・循環
・ライン・モニタの接続
・末梢神経の圧迫（腋窩・尺骨・腓骨）
・眼球圧迫の有無</t>
    </r>
  </si>
  <si>
    <t>覚醒</t>
  </si>
  <si>
    <t>覚醒遅延の鑑別を挙げよ。</t>
  </si>
  <si>
    <t>抜管</t>
  </si>
  <si>
    <t>抜管の基準を挙げよ。</t>
  </si>
  <si>
    <r>
      <rPr>
        <sz val="11"/>
        <rFont val="Noto Sans CJK SC"/>
        <family val="2"/>
      </rPr>
      <t>・十分な自発呼吸・一回換気量
・</t>
    </r>
    <r>
      <rPr>
        <sz val="11"/>
        <rFont val="游ゴシック"/>
        <family val="3"/>
        <charset val="128"/>
      </rPr>
      <t>TOF</t>
    </r>
    <r>
      <rPr>
        <sz val="11"/>
        <rFont val="Noto Sans CJK SC"/>
        <family val="2"/>
      </rPr>
      <t>比</t>
    </r>
    <r>
      <rPr>
        <sz val="11"/>
        <rFont val="游ゴシック"/>
        <family val="3"/>
        <charset val="128"/>
      </rPr>
      <t>0.9</t>
    </r>
    <r>
      <rPr>
        <sz val="11"/>
        <rFont val="Noto Sans CJK SC"/>
        <family val="2"/>
      </rPr>
      <t>以上
・指示に従える
・気道反射の回復
・酸素化良好
・循環安定
・低体温でない</t>
    </r>
  </si>
  <si>
    <t>合併症</t>
  </si>
  <si>
    <t>術中覚醒のリスク因子と予防は。</t>
  </si>
  <si>
    <r>
      <rPr>
        <sz val="11"/>
        <rFont val="Noto Sans CJK SC"/>
        <family val="2"/>
      </rPr>
      <t>・帝王切開・心臓外科・外傷
・</t>
    </r>
    <r>
      <rPr>
        <sz val="11"/>
        <rFont val="游ゴシック"/>
        <family val="3"/>
        <charset val="128"/>
      </rPr>
      <t>TIVA</t>
    </r>
    <r>
      <rPr>
        <sz val="11"/>
        <rFont val="Noto Sans CJK SC"/>
        <family val="2"/>
      </rPr>
      <t>＋筋弛緩薬
・浅い麻酔（循環不安定例）
・予防：麻酔薬濃度モニタ、</t>
    </r>
    <r>
      <rPr>
        <sz val="11"/>
        <rFont val="游ゴシック"/>
        <family val="3"/>
        <charset val="128"/>
      </rPr>
      <t>BIS</t>
    </r>
    <r>
      <rPr>
        <sz val="11"/>
        <rFont val="Noto Sans CJK SC"/>
        <family val="2"/>
      </rPr>
      <t>、ベンゾジアゼピン併用、投与ルートの確認</t>
    </r>
  </si>
  <si>
    <t>術中のアナフィラキシーを疑ったときの対応は。</t>
  </si>
  <si>
    <t>術中の代謝性アシドーシスの原因は。</t>
  </si>
  <si>
    <r>
      <rPr>
        <sz val="11"/>
        <rFont val="Noto Sans CJK SC"/>
        <family val="2"/>
      </rPr>
      <t>・組織低灌流・乳酸アシドーシス
・出血・ショック
・敗血症
・腎不全
・糖尿病性ケトアシドーシス
・大量の生理食塩水（高</t>
    </r>
    <r>
      <rPr>
        <sz val="11"/>
        <rFont val="游ゴシック"/>
        <family val="3"/>
        <charset val="128"/>
      </rPr>
      <t>Cl</t>
    </r>
    <r>
      <rPr>
        <sz val="11"/>
        <rFont val="Noto Sans CJK SC"/>
        <family val="2"/>
      </rPr>
      <t>性）</t>
    </r>
  </si>
  <si>
    <t>薬剤</t>
  </si>
  <si>
    <t>静脈麻酔薬</t>
  </si>
  <si>
    <t>プロポフォールの導入量・維持量は。</t>
  </si>
  <si>
    <r>
      <rPr>
        <sz val="11"/>
        <rFont val="Noto Sans CJK SC"/>
        <family val="2"/>
      </rPr>
      <t xml:space="preserve">・導入 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2mg/kg</t>
    </r>
    <r>
      <rPr>
        <sz val="11"/>
        <rFont val="Noto Sans CJK SC"/>
        <family val="2"/>
      </rPr>
      <t xml:space="preserve">（高齢・循環不安定は減量）
・維持 </t>
    </r>
    <r>
      <rPr>
        <sz val="11"/>
        <rFont val="游ゴシック"/>
        <family val="3"/>
        <charset val="128"/>
      </rPr>
      <t>4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10mg/kg/h
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 xml:space="preserve">TCI </t>
    </r>
    <r>
      <rPr>
        <sz val="11"/>
        <rFont val="Noto Sans CJK SC"/>
        <family val="2"/>
      </rPr>
      <t>目標</t>
    </r>
    <r>
      <rPr>
        <sz val="11"/>
        <rFont val="游ゴシック"/>
        <family val="3"/>
        <charset val="128"/>
      </rPr>
      <t>2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4μg/mL</t>
    </r>
  </si>
  <si>
    <t>プロポフォールの主な副作用は。</t>
  </si>
  <si>
    <r>
      <rPr>
        <sz val="11"/>
        <rFont val="Noto Sans CJK SC"/>
        <family val="2"/>
      </rPr>
      <t>・血圧低下
・呼吸抑制・無呼吸
・注入時痛
・徐脈
・長時間大量投与で</t>
    </r>
    <r>
      <rPr>
        <sz val="11"/>
        <rFont val="游ゴシック"/>
        <family val="3"/>
        <charset val="128"/>
      </rPr>
      <t>propofol infusion syndrome</t>
    </r>
  </si>
  <si>
    <t>ケタミンの用量と特徴は。</t>
  </si>
  <si>
    <r>
      <rPr>
        <sz val="11"/>
        <rFont val="Noto Sans CJK SC"/>
        <family val="2"/>
      </rPr>
      <t xml:space="preserve">・麻酔導入 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2mg/kg</t>
    </r>
    <r>
      <rPr>
        <sz val="11"/>
        <rFont val="Noto Sans CJK SC"/>
        <family val="2"/>
      </rPr>
      <t xml:space="preserve">静注
・鎮痛量 </t>
    </r>
    <r>
      <rPr>
        <sz val="11"/>
        <rFont val="游ゴシック"/>
        <family val="3"/>
        <charset val="128"/>
      </rPr>
      <t>0.25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0.5mg/kg
</t>
    </r>
    <r>
      <rPr>
        <sz val="11"/>
        <rFont val="Noto Sans CJK SC"/>
        <family val="2"/>
      </rPr>
      <t>・循環は維持〜上昇
・気管支拡張作用
・分泌物増加
・悪夢・せん妄
・脳圧・眼圧上昇に注意</t>
    </r>
  </si>
  <si>
    <t>ミダゾラムの用量と注意点は。</t>
  </si>
  <si>
    <t>鎮静薬</t>
  </si>
  <si>
    <t>デクスメデトミジンの用量と特徴は。</t>
  </si>
  <si>
    <t>筋弛緩薬</t>
  </si>
  <si>
    <t>ロクロニウムの挿管量・維持量・作用時間は。</t>
  </si>
  <si>
    <r>
      <rPr>
        <sz val="11"/>
        <rFont val="Noto Sans CJK SC"/>
        <family val="2"/>
      </rPr>
      <t xml:space="preserve">・挿管 </t>
    </r>
    <r>
      <rPr>
        <sz val="11"/>
        <rFont val="游ゴシック"/>
        <family val="3"/>
        <charset val="128"/>
      </rPr>
      <t>0.6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0.9mg/kg
</t>
    </r>
    <r>
      <rPr>
        <sz val="11"/>
        <rFont val="Noto Sans CJK SC"/>
        <family val="2"/>
      </rPr>
      <t xml:space="preserve">・追加 </t>
    </r>
    <r>
      <rPr>
        <sz val="11"/>
        <rFont val="游ゴシック"/>
        <family val="3"/>
        <charset val="128"/>
      </rPr>
      <t>0.1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0.2mg/kg
</t>
    </r>
    <r>
      <rPr>
        <sz val="11"/>
        <rFont val="Noto Sans CJK SC"/>
        <family val="2"/>
      </rPr>
      <t xml:space="preserve">・作用時間 </t>
    </r>
    <r>
      <rPr>
        <sz val="11"/>
        <rFont val="游ゴシック"/>
        <family val="3"/>
        <charset val="128"/>
      </rPr>
      <t>30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40</t>
    </r>
    <r>
      <rPr>
        <sz val="11"/>
        <rFont val="Noto Sans CJK SC"/>
        <family val="2"/>
      </rPr>
      <t>分
・迅速導入では</t>
    </r>
    <r>
      <rPr>
        <sz val="11"/>
        <rFont val="游ゴシック"/>
        <family val="3"/>
        <charset val="128"/>
      </rPr>
      <t>1.0mg/kg</t>
    </r>
  </si>
  <si>
    <t>スガマデクスの用量は。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</si>
  <si>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TOF</t>
    </r>
    <r>
      <rPr>
        <sz val="11"/>
        <rFont val="Noto Sans CJK SC"/>
        <family val="2"/>
      </rPr>
      <t>カウント</t>
    </r>
    <r>
      <rPr>
        <sz val="11"/>
        <rFont val="游ゴシック"/>
        <family val="3"/>
        <charset val="128"/>
      </rPr>
      <t>2</t>
    </r>
    <r>
      <rPr>
        <sz val="11"/>
        <rFont val="Noto Sans CJK SC"/>
        <family val="2"/>
      </rPr>
      <t>以上：</t>
    </r>
    <r>
      <rPr>
        <sz val="11"/>
        <rFont val="游ゴシック"/>
        <family val="3"/>
        <charset val="128"/>
      </rPr>
      <t xml:space="preserve">2mg/kg
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PTC 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2</t>
    </r>
    <r>
      <rPr>
        <sz val="11"/>
        <rFont val="Noto Sans CJK SC"/>
        <family val="2"/>
      </rPr>
      <t>（深い遮断）：</t>
    </r>
    <r>
      <rPr>
        <sz val="11"/>
        <rFont val="游ゴシック"/>
        <family val="3"/>
        <charset val="128"/>
      </rPr>
      <t xml:space="preserve">4mg/kg
</t>
    </r>
    <r>
      <rPr>
        <sz val="11"/>
        <rFont val="Noto Sans CJK SC"/>
        <family val="2"/>
      </rPr>
      <t>・挿管量投与直後：</t>
    </r>
    <r>
      <rPr>
        <sz val="11"/>
        <rFont val="游ゴシック"/>
        <family val="3"/>
        <charset val="128"/>
      </rPr>
      <t>16mg/kg</t>
    </r>
  </si>
  <si>
    <r>
      <rPr>
        <sz val="11"/>
        <rFont val="Noto Sans CJK SC"/>
        <family val="2"/>
      </rPr>
      <t>筋弛緩モニタ（</t>
    </r>
    <r>
      <rPr>
        <sz val="11"/>
        <rFont val="游ゴシック"/>
        <family val="3"/>
        <charset val="128"/>
      </rPr>
      <t>TOF</t>
    </r>
    <r>
      <rPr>
        <sz val="11"/>
        <rFont val="Noto Sans CJK SC"/>
        <family val="2"/>
      </rPr>
      <t>）の使い方は。</t>
    </r>
  </si>
  <si>
    <r>
      <rPr>
        <sz val="11"/>
        <rFont val="Noto Sans CJK SC"/>
        <family val="2"/>
      </rPr>
      <t>・尺骨神経刺激・母指内転筋
・挿管は</t>
    </r>
    <r>
      <rPr>
        <sz val="11"/>
        <rFont val="游ゴシック"/>
        <family val="3"/>
        <charset val="128"/>
      </rPr>
      <t>TOF</t>
    </r>
    <r>
      <rPr>
        <sz val="11"/>
        <rFont val="Noto Sans CJK SC"/>
        <family val="2"/>
      </rPr>
      <t>カウント</t>
    </r>
    <r>
      <rPr>
        <sz val="11"/>
        <rFont val="游ゴシック"/>
        <family val="3"/>
        <charset val="128"/>
      </rPr>
      <t>0</t>
    </r>
    <r>
      <rPr>
        <sz val="11"/>
        <rFont val="Noto Sans CJK SC"/>
        <family val="2"/>
      </rPr>
      <t>を目安
・深い遮断は</t>
    </r>
    <r>
      <rPr>
        <sz val="11"/>
        <rFont val="游ゴシック"/>
        <family val="3"/>
        <charset val="128"/>
      </rPr>
      <t>PTC</t>
    </r>
    <r>
      <rPr>
        <sz val="11"/>
        <rFont val="Noto Sans CJK SC"/>
        <family val="2"/>
      </rPr>
      <t>で評価
・抜管は</t>
    </r>
    <r>
      <rPr>
        <sz val="11"/>
        <rFont val="游ゴシック"/>
        <family val="3"/>
        <charset val="128"/>
      </rPr>
      <t>TOF</t>
    </r>
    <r>
      <rPr>
        <sz val="11"/>
        <rFont val="Noto Sans CJK SC"/>
        <family val="2"/>
      </rPr>
      <t>比</t>
    </r>
    <r>
      <rPr>
        <sz val="11"/>
        <rFont val="游ゴシック"/>
        <family val="3"/>
        <charset val="128"/>
      </rPr>
      <t>0.9</t>
    </r>
    <r>
      <rPr>
        <sz val="11"/>
        <rFont val="Noto Sans CJK SC"/>
        <family val="2"/>
      </rPr>
      <t>以上
・顔面神経は過小評価しやすい</t>
    </r>
  </si>
  <si>
    <t>オピオイド</t>
  </si>
  <si>
    <t>フェンタニルの導入量と特徴は。</t>
  </si>
  <si>
    <r>
      <rPr>
        <sz val="11"/>
        <rFont val="Noto Sans CJK SC"/>
        <family val="2"/>
      </rPr>
      <t xml:space="preserve">・導入 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3μg/kg
</t>
    </r>
    <r>
      <rPr>
        <sz val="11"/>
        <rFont val="Noto Sans CJK SC"/>
        <family val="2"/>
      </rPr>
      <t xml:space="preserve">・術中追加 </t>
    </r>
    <r>
      <rPr>
        <sz val="11"/>
        <rFont val="游ゴシック"/>
        <family val="3"/>
        <charset val="128"/>
      </rPr>
      <t>50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100μg
</t>
    </r>
    <r>
      <rPr>
        <sz val="11"/>
        <rFont val="Noto Sans CJK SC"/>
        <family val="2"/>
      </rPr>
      <t>・効果発現</t>
    </r>
    <r>
      <rPr>
        <sz val="11"/>
        <rFont val="游ゴシック"/>
        <family val="3"/>
        <charset val="128"/>
      </rPr>
      <t>3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5</t>
    </r>
    <r>
      <rPr>
        <sz val="11"/>
        <rFont val="Noto Sans CJK SC"/>
        <family val="2"/>
      </rPr>
      <t>分、作用時間</t>
    </r>
    <r>
      <rPr>
        <sz val="11"/>
        <rFont val="游ゴシック"/>
        <family val="3"/>
        <charset val="128"/>
      </rPr>
      <t>30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60</t>
    </r>
    <r>
      <rPr>
        <sz val="11"/>
        <rFont val="Noto Sans CJK SC"/>
        <family val="2"/>
      </rPr>
      <t>分
・反復投与で蓄積
・呼吸抑制・徐脈・筋硬直・悪心</t>
    </r>
  </si>
  <si>
    <t>レミフェンタニルの投与量と注意点は。</t>
  </si>
  <si>
    <t>昇圧薬</t>
  </si>
  <si>
    <r>
      <rPr>
        <sz val="11"/>
        <rFont val="Noto Sans CJK SC"/>
        <family val="2"/>
      </rPr>
      <t>エフェドリンは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回何</t>
    </r>
    <r>
      <rPr>
        <sz val="11"/>
        <rFont val="游ゴシック"/>
        <family val="3"/>
        <charset val="128"/>
      </rPr>
      <t>mg</t>
    </r>
    <r>
      <rPr>
        <sz val="11"/>
        <rFont val="Noto Sans CJK SC"/>
        <family val="2"/>
      </rPr>
      <t>くらい使うか。特徴は。</t>
    </r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</si>
  <si>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 xml:space="preserve">回 </t>
    </r>
    <r>
      <rPr>
        <sz val="11"/>
        <rFont val="游ゴシック"/>
        <family val="3"/>
        <charset val="128"/>
      </rPr>
      <t>4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8mg</t>
    </r>
    <r>
      <rPr>
        <sz val="11"/>
        <rFont val="Noto Sans CJK SC"/>
        <family val="2"/>
      </rPr>
      <t>静注
・間接作用（内因性カテコラミン遊離）
・</t>
    </r>
    <r>
      <rPr>
        <sz val="11"/>
        <rFont val="游ゴシック"/>
        <family val="3"/>
        <charset val="128"/>
      </rPr>
      <t>α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β</t>
    </r>
    <r>
      <rPr>
        <sz val="11"/>
        <rFont val="Noto Sans CJK SC"/>
        <family val="2"/>
      </rPr>
      <t>作用で心拍数も上がる
・反復でタキフィラキシー</t>
    </r>
  </si>
  <si>
    <r>
      <rPr>
        <sz val="11"/>
        <rFont val="Noto Sans CJK SC"/>
        <family val="2"/>
      </rPr>
      <t>フェニレフリンの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回量と特徴は。</t>
    </r>
  </si>
  <si>
    <t>ノルアドレナリンの投与量と注意点は。</t>
  </si>
  <si>
    <t>アドレナリンの用量（アナフィラキシー・心停止）は。</t>
  </si>
  <si>
    <r>
      <rPr>
        <sz val="11"/>
        <rFont val="Noto Sans CJK SC"/>
        <family val="2"/>
      </rPr>
      <t>・アナフィラキシー：</t>
    </r>
    <r>
      <rPr>
        <sz val="11"/>
        <rFont val="游ゴシック"/>
        <family val="3"/>
        <charset val="128"/>
      </rPr>
      <t>0.3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0.5mg </t>
    </r>
    <r>
      <rPr>
        <sz val="11"/>
        <rFont val="Noto Sans CJK SC"/>
        <family val="2"/>
      </rPr>
      <t xml:space="preserve">筋注（大腿外側）
・術中で静脈路があれば </t>
    </r>
    <r>
      <rPr>
        <sz val="11"/>
        <rFont val="游ゴシック"/>
        <family val="3"/>
        <charset val="128"/>
      </rPr>
      <t>50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100μg</t>
    </r>
    <r>
      <rPr>
        <sz val="11"/>
        <rFont val="Noto Sans CJK SC"/>
        <family val="2"/>
      </rPr>
      <t xml:space="preserve">ずつ静注
・持続 </t>
    </r>
    <r>
      <rPr>
        <sz val="11"/>
        <rFont val="游ゴシック"/>
        <family val="3"/>
        <charset val="128"/>
      </rPr>
      <t>0.05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0.1μg/kg/min
</t>
    </r>
    <r>
      <rPr>
        <sz val="11"/>
        <rFont val="Noto Sans CJK SC"/>
        <family val="2"/>
      </rPr>
      <t>・心停止：</t>
    </r>
    <r>
      <rPr>
        <sz val="11"/>
        <rFont val="游ゴシック"/>
        <family val="3"/>
        <charset val="128"/>
      </rPr>
      <t>1mg</t>
    </r>
    <r>
      <rPr>
        <sz val="11"/>
        <rFont val="Noto Sans CJK SC"/>
        <family val="2"/>
      </rPr>
      <t>静注を</t>
    </r>
    <r>
      <rPr>
        <sz val="11"/>
        <rFont val="游ゴシック"/>
        <family val="3"/>
        <charset val="128"/>
      </rPr>
      <t>3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5</t>
    </r>
    <r>
      <rPr>
        <sz val="11"/>
        <rFont val="Noto Sans CJK SC"/>
        <family val="2"/>
      </rPr>
      <t>分毎</t>
    </r>
  </si>
  <si>
    <t>抗コリン薬</t>
  </si>
  <si>
    <t>降圧薬</t>
  </si>
  <si>
    <t>ニトログリセリンの使い方は。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</si>
  <si>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0.5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5μg/kg/min</t>
    </r>
    <r>
      <rPr>
        <sz val="11"/>
        <rFont val="Noto Sans CJK SC"/>
        <family val="2"/>
      </rPr>
      <t>持続
・静脈拡張で前負荷軽減
・冠動脈拡張
・頭痛・反射性頻脈
・硝酸薬耐性</t>
    </r>
  </si>
  <si>
    <r>
      <rPr>
        <sz val="11"/>
        <rFont val="游ゴシック"/>
        <family val="3"/>
        <charset val="128"/>
      </rPr>
      <t>β</t>
    </r>
    <r>
      <rPr>
        <sz val="11"/>
        <rFont val="Noto Sans CJK SC"/>
        <family val="2"/>
      </rPr>
      <t>遮断薬</t>
    </r>
  </si>
  <si>
    <t>抗不整脈薬</t>
  </si>
  <si>
    <t>術中の頻脈性心房細動への薬剤は。</t>
  </si>
  <si>
    <r>
      <rPr>
        <sz val="11"/>
        <rFont val="Noto Sans CJK SC"/>
        <family val="2"/>
      </rPr>
      <t xml:space="preserve">・ランジオロール
・ジルチアゼム </t>
    </r>
    <r>
      <rPr>
        <sz val="11"/>
        <rFont val="游ゴシック"/>
        <family val="3"/>
        <charset val="128"/>
      </rPr>
      <t>5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10mg</t>
    </r>
    <r>
      <rPr>
        <sz val="11"/>
        <rFont val="Noto Sans CJK SC"/>
        <family val="2"/>
      </rPr>
      <t>静注
・アミオダロン
・循環不安定なら同期電気ショック
・電解質（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、</t>
    </r>
    <r>
      <rPr>
        <sz val="11"/>
        <rFont val="游ゴシック"/>
        <family val="3"/>
        <charset val="128"/>
      </rPr>
      <t>Mg</t>
    </r>
    <r>
      <rPr>
        <sz val="11"/>
        <rFont val="Noto Sans CJK SC"/>
        <family val="2"/>
      </rPr>
      <t>）補正</t>
    </r>
  </si>
  <si>
    <t>鎮痛薬</t>
  </si>
  <si>
    <t>アセトアミノフェン静注の用量と注意点は。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</si>
  <si>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15mg/kg</t>
    </r>
    <r>
      <rPr>
        <sz val="11"/>
        <rFont val="Noto Sans CJK SC"/>
        <family val="2"/>
      </rPr>
      <t>（成人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回</t>
    </r>
    <r>
      <rPr>
        <sz val="11"/>
        <rFont val="游ゴシック"/>
        <family val="3"/>
        <charset val="128"/>
      </rPr>
      <t>1000mg</t>
    </r>
    <r>
      <rPr>
        <sz val="11"/>
        <rFont val="Noto Sans CJK SC"/>
        <family val="2"/>
      </rPr>
      <t>）を</t>
    </r>
    <r>
      <rPr>
        <sz val="11"/>
        <rFont val="游ゴシック"/>
        <family val="3"/>
        <charset val="128"/>
      </rPr>
      <t>15</t>
    </r>
    <r>
      <rPr>
        <sz val="11"/>
        <rFont val="Noto Sans CJK SC"/>
        <family val="2"/>
      </rPr>
      <t>分で
・</t>
    </r>
    <r>
      <rPr>
        <sz val="11"/>
        <rFont val="游ゴシック"/>
        <family val="3"/>
        <charset val="128"/>
      </rPr>
      <t>4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6</t>
    </r>
    <r>
      <rPr>
        <sz val="11"/>
        <rFont val="Noto Sans CJK SC"/>
        <family val="2"/>
      </rPr>
      <t>時間毎、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日</t>
    </r>
    <r>
      <rPr>
        <sz val="11"/>
        <rFont val="游ゴシック"/>
        <family val="3"/>
        <charset val="128"/>
      </rPr>
      <t>4000mg</t>
    </r>
    <r>
      <rPr>
        <sz val="11"/>
        <rFont val="Noto Sans CJK SC"/>
        <family val="2"/>
      </rPr>
      <t>まで
・肝障害・低体重で減量
・血圧低下に注意</t>
    </r>
  </si>
  <si>
    <r>
      <rPr>
        <sz val="11"/>
        <rFont val="游ゴシック"/>
        <family val="3"/>
        <charset val="128"/>
      </rPr>
      <t>NSAIDs</t>
    </r>
    <r>
      <rPr>
        <sz val="11"/>
        <rFont val="Noto Sans CJK SC"/>
        <family val="2"/>
      </rPr>
      <t>（フルルビプロフェンなど）の用量と禁忌は。</t>
    </r>
  </si>
  <si>
    <r>
      <rPr>
        <sz val="11"/>
        <rFont val="Noto Sans CJK SC"/>
        <family val="2"/>
      </rPr>
      <t xml:space="preserve">・フルルビプロフェンアキセチル </t>
    </r>
    <r>
      <rPr>
        <sz val="11"/>
        <rFont val="游ゴシック"/>
        <family val="3"/>
        <charset val="128"/>
      </rPr>
      <t>50mg</t>
    </r>
    <r>
      <rPr>
        <sz val="11"/>
        <rFont val="Noto Sans CJK SC"/>
        <family val="2"/>
      </rPr>
      <t>静注
・禁忌・注意：腎障害、消化管潰瘍、喘息（アスピリン喘息）、出血傾向、妊娠後期</t>
    </r>
  </si>
  <si>
    <t>制吐薬</t>
  </si>
  <si>
    <r>
      <rPr>
        <sz val="11"/>
        <rFont val="游ゴシック"/>
        <family val="3"/>
        <charset val="128"/>
      </rPr>
      <t>PONV</t>
    </r>
    <r>
      <rPr>
        <sz val="11"/>
        <rFont val="Noto Sans CJK SC"/>
        <family val="2"/>
      </rPr>
      <t>に使う薬と用量は。</t>
    </r>
  </si>
  <si>
    <r>
      <rPr>
        <sz val="11"/>
        <rFont val="游ゴシック"/>
        <family val="3"/>
        <charset val="128"/>
      </rPr>
      <t>PONV</t>
    </r>
    <r>
      <rPr>
        <sz val="11"/>
        <rFont val="Noto Sans CJK SC"/>
        <family val="2"/>
      </rPr>
      <t>のリスク因子は。</t>
    </r>
  </si>
  <si>
    <r>
      <rPr>
        <sz val="11"/>
        <rFont val="Noto Sans CJK SC"/>
        <family val="2"/>
      </rPr>
      <t>・女性
・非喫煙者
・</t>
    </r>
    <r>
      <rPr>
        <sz val="11"/>
        <rFont val="游ゴシック"/>
        <family val="3"/>
        <charset val="128"/>
      </rPr>
      <t>PONV</t>
    </r>
    <r>
      <rPr>
        <sz val="11"/>
        <rFont val="Noto Sans CJK SC"/>
        <family val="2"/>
      </rPr>
      <t>・乗り物酔いの既往
・術後オピオイド使用
・揮発性麻酔薬・亜酸化窒素
・腹腔鏡・婦人科・耳鼻科手術
・長時間手術</t>
    </r>
  </si>
  <si>
    <t>局所麻酔薬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</si>
  <si>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 xml:space="preserve">5mg/kg
</t>
    </r>
    <r>
      <rPr>
        <sz val="11"/>
        <rFont val="Noto Sans CJK SC"/>
        <family val="2"/>
      </rPr>
      <t>・アドレナリン添加で</t>
    </r>
    <r>
      <rPr>
        <sz val="11"/>
        <rFont val="游ゴシック"/>
        <family val="3"/>
        <charset val="128"/>
      </rPr>
      <t>7mg/kg</t>
    </r>
  </si>
  <si>
    <t>ロピバカイン・ブピバカインの最大量と特徴は。</t>
  </si>
  <si>
    <r>
      <rPr>
        <sz val="11"/>
        <rFont val="Noto Sans CJK SC"/>
        <family val="2"/>
      </rPr>
      <t xml:space="preserve">・ロピバカイン </t>
    </r>
    <r>
      <rPr>
        <sz val="11"/>
        <rFont val="游ゴシック"/>
        <family val="3"/>
        <charset val="128"/>
      </rPr>
      <t xml:space="preserve">3mg/kg
</t>
    </r>
    <r>
      <rPr>
        <sz val="11"/>
        <rFont val="Noto Sans CJK SC"/>
        <family val="2"/>
      </rPr>
      <t xml:space="preserve">・ブピバカイン </t>
    </r>
    <r>
      <rPr>
        <sz val="11"/>
        <rFont val="游ゴシック"/>
        <family val="3"/>
        <charset val="128"/>
      </rPr>
      <t>2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2.5mg/kg
</t>
    </r>
    <r>
      <rPr>
        <sz val="11"/>
        <rFont val="Noto Sans CJK SC"/>
        <family val="2"/>
      </rPr>
      <t>・ブピバカインは心毒性が強い
・ロピバカインは運動遮断が弱く心毒性が低い</t>
    </r>
  </si>
  <si>
    <t>局所麻酔薬中毒の症状と治療は。</t>
  </si>
  <si>
    <r>
      <rPr>
        <sz val="11"/>
        <rFont val="Noto Sans CJK SC"/>
        <family val="2"/>
      </rPr>
      <t>・症状：口周囲のしびれ、耳鳴り、多弁、けいれん、意識消失、不整脈、心停止
・治療：投与中止、気道確保・酸素、ベンゾジアゼピンでけいれん抑制
・</t>
    </r>
    <r>
      <rPr>
        <sz val="11"/>
        <rFont val="游ゴシック"/>
        <family val="3"/>
        <charset val="128"/>
      </rPr>
      <t>20%</t>
    </r>
    <r>
      <rPr>
        <sz val="11"/>
        <rFont val="Noto Sans CJK SC"/>
        <family val="2"/>
      </rPr>
      <t xml:space="preserve">脂肪乳剤 </t>
    </r>
    <r>
      <rPr>
        <sz val="11"/>
        <rFont val="游ゴシック"/>
        <family val="3"/>
        <charset val="128"/>
      </rPr>
      <t xml:space="preserve">1.5mL/kg bolus → 0.25mL/kg/min
</t>
    </r>
    <r>
      <rPr>
        <sz val="11"/>
        <rFont val="Noto Sans CJK SC"/>
        <family val="2"/>
      </rPr>
      <t>・アドレナリンは少量
・体外循環も考慮</t>
    </r>
  </si>
  <si>
    <t>その他</t>
  </si>
  <si>
    <t>トラネキサム酸の用量と適応は。</t>
  </si>
  <si>
    <t>プロタミンの投与量と副作用は。</t>
  </si>
  <si>
    <r>
      <rPr>
        <sz val="11"/>
        <rFont val="Noto Sans CJK SC"/>
        <family val="2"/>
      </rPr>
      <t>・ヘパリン</t>
    </r>
    <r>
      <rPr>
        <sz val="11"/>
        <rFont val="游ゴシック"/>
        <family val="3"/>
        <charset val="128"/>
      </rPr>
      <t>100</t>
    </r>
    <r>
      <rPr>
        <sz val="11"/>
        <rFont val="Noto Sans CJK SC"/>
        <family val="2"/>
      </rPr>
      <t>単位に対し</t>
    </r>
    <r>
      <rPr>
        <sz val="11"/>
        <rFont val="游ゴシック"/>
        <family val="3"/>
        <charset val="128"/>
      </rPr>
      <t xml:space="preserve">1mg
</t>
    </r>
    <r>
      <rPr>
        <sz val="11"/>
        <rFont val="Noto Sans CJK SC"/>
        <family val="2"/>
      </rPr>
      <t>・急速投与で低血圧・肺高血圧
・アナフィラキシー（魚アレルギー、</t>
    </r>
    <r>
      <rPr>
        <sz val="11"/>
        <rFont val="游ゴシック"/>
        <family val="3"/>
        <charset val="128"/>
      </rPr>
      <t>NPH</t>
    </r>
    <r>
      <rPr>
        <sz val="11"/>
        <rFont val="Noto Sans CJK SC"/>
        <family val="2"/>
      </rPr>
      <t>インスリン使用者）
・過量で出血傾向</t>
    </r>
  </si>
  <si>
    <r>
      <rPr>
        <sz val="11"/>
        <rFont val="Noto Sans CJK SC"/>
        <family val="2"/>
      </rPr>
      <t>高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血症の緊急治療を挙げよ。</t>
    </r>
  </si>
  <si>
    <t>硫酸マグネシウムの周術期の用途と注意点は。</t>
  </si>
  <si>
    <t>悪性高熱の治療は。</t>
  </si>
  <si>
    <t>亜酸化窒素を避けるべき状況は。</t>
  </si>
  <si>
    <r>
      <rPr>
        <sz val="11"/>
        <rFont val="Noto Sans CJK SC"/>
        <family val="2"/>
      </rPr>
      <t>・腸閉塞
・気胸・気脳症
・空気塞栓
・鼓室形成術
・眼内ガス（</t>
    </r>
    <r>
      <rPr>
        <sz val="11"/>
        <rFont val="游ゴシック"/>
        <family val="3"/>
        <charset val="128"/>
      </rPr>
      <t>SF6</t>
    </r>
    <r>
      <rPr>
        <sz val="11"/>
        <rFont val="Noto Sans CJK SC"/>
        <family val="2"/>
      </rPr>
      <t>）使用後
・妊娠初期
・長時間使用（骨髄抑制・ビタミン</t>
    </r>
    <r>
      <rPr>
        <sz val="11"/>
        <rFont val="游ゴシック"/>
        <family val="3"/>
        <charset val="128"/>
      </rPr>
      <t>B12</t>
    </r>
    <r>
      <rPr>
        <sz val="11"/>
        <rFont val="Noto Sans CJK SC"/>
        <family val="2"/>
      </rPr>
      <t>）
・</t>
    </r>
    <r>
      <rPr>
        <sz val="11"/>
        <rFont val="游ゴシック"/>
        <family val="3"/>
        <charset val="128"/>
      </rPr>
      <t>PONV</t>
    </r>
    <r>
      <rPr>
        <sz val="11"/>
        <rFont val="Noto Sans CJK SC"/>
        <family val="2"/>
      </rPr>
      <t>リスク</t>
    </r>
  </si>
  <si>
    <t>呼吸・人工呼吸</t>
  </si>
  <si>
    <t>気道評価</t>
  </si>
  <si>
    <t>マスク換気困難を予測する因子は。</t>
  </si>
  <si>
    <r>
      <rPr>
        <sz val="11"/>
        <rFont val="Noto Sans CJK SC"/>
        <family val="2"/>
      </rPr>
      <t>・肥満
・高齢
・髭
・無歯
・いびき・睡眠時無呼吸
・下顎後退・小顎
・</t>
    </r>
    <r>
      <rPr>
        <sz val="11"/>
        <rFont val="游ゴシック"/>
        <family val="3"/>
        <charset val="128"/>
      </rPr>
      <t>Mallampati</t>
    </r>
    <r>
      <rPr>
        <sz val="11"/>
        <rFont val="Noto Sans CJK SC"/>
        <family val="2"/>
      </rPr>
      <t>分類が高い</t>
    </r>
  </si>
  <si>
    <t>挿管困難を予測する所見は。</t>
  </si>
  <si>
    <r>
      <rPr>
        <sz val="11"/>
        <rFont val="Noto Sans CJK SC"/>
        <family val="2"/>
      </rPr>
      <t xml:space="preserve">・開口 </t>
    </r>
    <r>
      <rPr>
        <sz val="11"/>
        <rFont val="游ゴシック"/>
        <family val="3"/>
        <charset val="128"/>
      </rPr>
      <t>3</t>
    </r>
    <r>
      <rPr>
        <sz val="11"/>
        <rFont val="Noto Sans CJK SC"/>
        <family val="2"/>
      </rPr>
      <t xml:space="preserve">横指未満
・甲状オトガイ間距離 </t>
    </r>
    <r>
      <rPr>
        <sz val="11"/>
        <rFont val="游ゴシック"/>
        <family val="3"/>
        <charset val="128"/>
      </rPr>
      <t>6cm</t>
    </r>
    <r>
      <rPr>
        <sz val="11"/>
        <rFont val="Noto Sans CJK SC"/>
        <family val="2"/>
      </rPr>
      <t>未満
・頸部の可動制限
・</t>
    </r>
    <r>
      <rPr>
        <sz val="11"/>
        <rFont val="游ゴシック"/>
        <family val="3"/>
        <charset val="128"/>
      </rPr>
      <t>Mallampati III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IV
</t>
    </r>
    <r>
      <rPr>
        <sz val="11"/>
        <rFont val="Noto Sans CJK SC"/>
        <family val="2"/>
      </rPr>
      <t>・挿管困難の既往
・小顎・大きな舌・突出した切歯
・頸部の腫瘤・放射線照射後</t>
    </r>
  </si>
  <si>
    <t>気道確保</t>
  </si>
  <si>
    <r>
      <rPr>
        <sz val="11"/>
        <rFont val="Noto Sans CJK SC"/>
        <family val="2"/>
      </rPr>
      <t>迅速導入（</t>
    </r>
    <r>
      <rPr>
        <sz val="11"/>
        <rFont val="游ゴシック"/>
        <family val="3"/>
        <charset val="128"/>
      </rPr>
      <t>RSI</t>
    </r>
    <r>
      <rPr>
        <sz val="11"/>
        <rFont val="Noto Sans CJK SC"/>
        <family val="2"/>
      </rPr>
      <t>）の手順は。</t>
    </r>
  </si>
  <si>
    <r>
      <rPr>
        <sz val="11"/>
        <rFont val="Noto Sans CJK SC"/>
        <family val="2"/>
      </rPr>
      <t>換気も挿管もできない（</t>
    </r>
    <r>
      <rPr>
        <sz val="11"/>
        <rFont val="游ゴシック"/>
        <family val="3"/>
        <charset val="128"/>
      </rPr>
      <t>CICO</t>
    </r>
    <r>
      <rPr>
        <sz val="11"/>
        <rFont val="Noto Sans CJK SC"/>
        <family val="2"/>
      </rPr>
      <t>）ときの対応は。</t>
    </r>
  </si>
  <si>
    <t>トラブル</t>
  </si>
  <si>
    <t>気道内圧が上昇した。鑑別を挙げよ。</t>
  </si>
  <si>
    <t>・チューブの屈曲・閉塞・カフヘルニア
・分泌物
・片肺挿管
・気管支痙攣
・筋弛緩不足・バッキング
・気胸
・気腹・頭低位・術者の圧迫
・肺水腫・無気肺</t>
  </si>
  <si>
    <t>術中の低酸素血症の鑑別は。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</si>
  <si>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FiO2</t>
    </r>
    <r>
      <rPr>
        <sz val="11"/>
        <rFont val="Noto Sans CJK SC"/>
        <family val="2"/>
      </rPr>
      <t>・回路・酸素供給の異常
・片肺挿管・チューブトラブル
・無気肺
・分泌物・喀痰貯留
・気管支痙攣
・気胸
・肺塞栓・空気塞栓
・肺水腫
・心拍出量低下
・</t>
    </r>
    <r>
      <rPr>
        <sz val="11"/>
        <rFont val="游ゴシック"/>
        <family val="3"/>
        <charset val="128"/>
      </rPr>
      <t>SpO2</t>
    </r>
    <r>
      <rPr>
        <sz val="11"/>
        <rFont val="Noto Sans CJK SC"/>
        <family val="2"/>
      </rPr>
      <t>プローブ不良</t>
    </r>
  </si>
  <si>
    <t>術中の気管支痙攣への対応は。</t>
  </si>
  <si>
    <t>換気設定</t>
  </si>
  <si>
    <t>肺保護換気の基本設定は。</t>
  </si>
  <si>
    <r>
      <rPr>
        <sz val="11"/>
        <rFont val="Noto Sans CJK SC"/>
        <family val="2"/>
      </rPr>
      <t xml:space="preserve">・一回換気量 </t>
    </r>
    <r>
      <rPr>
        <sz val="11"/>
        <rFont val="游ゴシック"/>
        <family val="3"/>
        <charset val="128"/>
      </rPr>
      <t>6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8mL/kg</t>
    </r>
    <r>
      <rPr>
        <sz val="11"/>
        <rFont val="Noto Sans CJK SC"/>
        <family val="2"/>
      </rPr>
      <t>（予測体重）
・</t>
    </r>
    <r>
      <rPr>
        <sz val="11"/>
        <rFont val="游ゴシック"/>
        <family val="3"/>
        <charset val="128"/>
      </rPr>
      <t>PEEP 5cmH2O</t>
    </r>
    <r>
      <rPr>
        <sz val="11"/>
        <rFont val="Noto Sans CJK SC"/>
        <family val="2"/>
      </rPr>
      <t xml:space="preserve">前後
・プラトー圧 </t>
    </r>
    <r>
      <rPr>
        <sz val="11"/>
        <rFont val="游ゴシック"/>
        <family val="3"/>
        <charset val="128"/>
      </rPr>
      <t>30cmH2O</t>
    </r>
    <r>
      <rPr>
        <sz val="11"/>
        <rFont val="Noto Sans CJK SC"/>
        <family val="2"/>
      </rPr>
      <t xml:space="preserve">未満
・ドライビングプレッシャー </t>
    </r>
    <r>
      <rPr>
        <sz val="11"/>
        <rFont val="游ゴシック"/>
        <family val="3"/>
        <charset val="128"/>
      </rPr>
      <t>15cmH2O</t>
    </r>
    <r>
      <rPr>
        <sz val="11"/>
        <rFont val="Noto Sans CJK SC"/>
        <family val="2"/>
      </rPr>
      <t>未満
・適宜リクルートメント
・</t>
    </r>
    <r>
      <rPr>
        <sz val="11"/>
        <rFont val="游ゴシック"/>
        <family val="3"/>
        <charset val="128"/>
      </rPr>
      <t>permissive hypercapnia</t>
    </r>
  </si>
  <si>
    <r>
      <rPr>
        <sz val="11"/>
        <rFont val="游ゴシック"/>
        <family val="3"/>
        <charset val="128"/>
      </rPr>
      <t>PEEP</t>
    </r>
    <r>
      <rPr>
        <sz val="11"/>
        <rFont val="Noto Sans CJK SC"/>
        <family val="2"/>
      </rPr>
      <t>をかける意義と弊害は。</t>
    </r>
  </si>
  <si>
    <t>・意義：機能的残気量の維持、無気肺予防、酸素化改善
・弊害：静脈還流低下・血圧低下、圧損傷、脳圧上昇、過膨張</t>
  </si>
  <si>
    <t>リクルートメント手技の方法と注意点は。</t>
  </si>
  <si>
    <r>
      <rPr>
        <sz val="11"/>
        <rFont val="Noto Sans CJK SC"/>
        <family val="2"/>
      </rPr>
      <t>・気道内圧</t>
    </r>
    <r>
      <rPr>
        <sz val="11"/>
        <rFont val="游ゴシック"/>
        <family val="3"/>
        <charset val="128"/>
      </rPr>
      <t>30cmH2O</t>
    </r>
    <r>
      <rPr>
        <sz val="11"/>
        <rFont val="Noto Sans CJK SC"/>
        <family val="2"/>
      </rPr>
      <t>前後を</t>
    </r>
    <r>
      <rPr>
        <sz val="11"/>
        <rFont val="游ゴシック"/>
        <family val="3"/>
        <charset val="128"/>
      </rPr>
      <t>20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30</t>
    </r>
    <r>
      <rPr>
        <sz val="11"/>
        <rFont val="Noto Sans CJK SC"/>
        <family val="2"/>
      </rPr>
      <t>秒保持
・実施後に適切な</t>
    </r>
    <r>
      <rPr>
        <sz val="11"/>
        <rFont val="游ゴシック"/>
        <family val="3"/>
        <charset val="128"/>
      </rPr>
      <t>PEEP</t>
    </r>
    <r>
      <rPr>
        <sz val="11"/>
        <rFont val="Noto Sans CJK SC"/>
        <family val="2"/>
      </rPr>
      <t>を設定
・血圧低下
・圧損傷・気胸
・循環不安定例では避ける</t>
    </r>
  </si>
  <si>
    <r>
      <rPr>
        <sz val="11"/>
        <rFont val="游ゴシック"/>
        <family val="3"/>
        <charset val="128"/>
      </rPr>
      <t>COPD</t>
    </r>
    <r>
      <rPr>
        <sz val="11"/>
        <rFont val="Noto Sans CJK SC"/>
        <family val="2"/>
      </rPr>
      <t>患者の換気設定の要点は。</t>
    </r>
  </si>
  <si>
    <t>生理</t>
  </si>
  <si>
    <r>
      <rPr>
        <sz val="11"/>
        <rFont val="Noto Sans CJK SC"/>
        <family val="2"/>
      </rPr>
      <t>高</t>
    </r>
    <r>
      <rPr>
        <sz val="11"/>
        <rFont val="游ゴシック"/>
        <family val="3"/>
        <charset val="128"/>
      </rPr>
      <t>CO2</t>
    </r>
    <r>
      <rPr>
        <sz val="11"/>
        <rFont val="Noto Sans CJK SC"/>
        <family val="2"/>
      </rPr>
      <t>血症が身体に及ぼす影響は。</t>
    </r>
  </si>
  <si>
    <r>
      <rPr>
        <sz val="11"/>
        <rFont val="Noto Sans CJK SC"/>
        <family val="2"/>
      </rPr>
      <t>・交感神経刺激で頻脈・高血圧
・脳血流増加・頭蓋内圧上昇
・不整脈
・呼吸性アシドーシス
・高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血症
・覚醒遅延</t>
    </r>
  </si>
  <si>
    <t>過換気の弊害は。</t>
  </si>
  <si>
    <r>
      <rPr>
        <sz val="11"/>
        <rFont val="Noto Sans CJK SC"/>
        <family val="2"/>
      </rPr>
      <t>・脳血流低下
・酸素解離曲線の左方移動
・低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血症
・静脈還流低下・心拍出量低下
・気道内圧上昇・無気肺</t>
    </r>
  </si>
  <si>
    <t>カプノグラム</t>
  </si>
  <si>
    <t>カプノグラムのベースラインが上昇しているときの原因は。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</si>
  <si>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CO2</t>
    </r>
    <r>
      <rPr>
        <sz val="11"/>
        <rFont val="Noto Sans CJK SC"/>
        <family val="2"/>
      </rPr>
      <t>の再呼吸
・ソーダライムの消耗
・一方弁の不良
・新鮮ガス流量不足</t>
    </r>
  </si>
  <si>
    <t>カプノグラムがシャークフィン型（上行脚がなだらか）になる原因は。</t>
  </si>
  <si>
    <t>回路リークを疑うときの確認点は。</t>
  </si>
  <si>
    <r>
      <rPr>
        <sz val="11"/>
        <rFont val="Noto Sans CJK SC"/>
        <family val="2"/>
      </rPr>
      <t>・吸気と呼気の換気量の差
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波形の低下
・カフ圧・カフ破損
・蛇管・接続部・サンプリングライン
・ソーダライム容器
・気道内圧の低下</t>
    </r>
  </si>
  <si>
    <t>術後</t>
  </si>
  <si>
    <t>術後呼吸器合併症のリスク因子は。</t>
  </si>
  <si>
    <r>
      <rPr>
        <sz val="11"/>
        <rFont val="Noto Sans CJK SC"/>
        <family val="2"/>
      </rPr>
      <t>・高齢
・喫煙
・</t>
    </r>
    <r>
      <rPr>
        <sz val="11"/>
        <rFont val="游ゴシック"/>
        <family val="3"/>
        <charset val="128"/>
      </rPr>
      <t>COPD</t>
    </r>
    <r>
      <rPr>
        <sz val="11"/>
        <rFont val="Noto Sans CJK SC"/>
        <family val="2"/>
      </rPr>
      <t>・喘息
・肥満・睡眠時無呼吸
・上腹部・開胸手術
・長時間手術
・低アルブミン
・筋弛緩薬の残存</t>
    </r>
  </si>
  <si>
    <t>併存症</t>
  </si>
  <si>
    <t>高血圧</t>
  </si>
  <si>
    <t>高血圧患者で術前に継続・中止する降圧薬は。</t>
  </si>
  <si>
    <t>高血圧患者の術中管理の注意点は。</t>
  </si>
  <si>
    <r>
      <rPr>
        <sz val="11"/>
        <rFont val="Noto Sans CJK SC"/>
        <family val="2"/>
      </rPr>
      <t>・血圧変動が大きい
・挿管・抜管時の高血圧
・低血圧時の臓器灌流低下（腎・脳）
・普段の血圧の</t>
    </r>
    <r>
      <rPr>
        <sz val="11"/>
        <rFont val="游ゴシック"/>
        <family val="3"/>
        <charset val="128"/>
      </rPr>
      <t>±20%</t>
    </r>
    <r>
      <rPr>
        <sz val="11"/>
        <rFont val="Noto Sans CJK SC"/>
        <family val="2"/>
      </rPr>
      <t>を目安に維持
・十分な麻酔深度と鎮痛</t>
    </r>
  </si>
  <si>
    <t>虚血性心疾患</t>
  </si>
  <si>
    <t>術中の心筋虚血を防ぐための管理は。</t>
  </si>
  <si>
    <r>
      <rPr>
        <sz val="11"/>
        <rFont val="Noto Sans CJK SC"/>
        <family val="2"/>
      </rPr>
      <t>・頻脈を避ける（最重要）
・血圧を保つ（拡張期血圧）
・貧血を避ける
・十分な鎮痛
・</t>
    </r>
    <r>
      <rPr>
        <sz val="11"/>
        <rFont val="游ゴシック"/>
        <family val="3"/>
        <charset val="128"/>
      </rPr>
      <t>β</t>
    </r>
    <r>
      <rPr>
        <sz val="11"/>
        <rFont val="Noto Sans CJK SC"/>
        <family val="2"/>
      </rPr>
      <t>遮断薬の継続
・低体温・シバリングを避ける
・</t>
    </r>
    <r>
      <rPr>
        <sz val="11"/>
        <rFont val="游ゴシック"/>
        <family val="3"/>
        <charset val="128"/>
      </rPr>
      <t>II</t>
    </r>
    <r>
      <rPr>
        <sz val="11"/>
        <rFont val="Noto Sans CJK SC"/>
        <family val="2"/>
      </rPr>
      <t>誘導・</t>
    </r>
    <r>
      <rPr>
        <sz val="11"/>
        <rFont val="游ゴシック"/>
        <family val="3"/>
        <charset val="128"/>
      </rPr>
      <t>V5</t>
    </r>
    <r>
      <rPr>
        <sz val="11"/>
        <rFont val="Noto Sans CJK SC"/>
        <family val="2"/>
      </rPr>
      <t>で</t>
    </r>
    <r>
      <rPr>
        <sz val="11"/>
        <rFont val="游ゴシック"/>
        <family val="3"/>
        <charset val="128"/>
      </rPr>
      <t>ST</t>
    </r>
    <r>
      <rPr>
        <sz val="11"/>
        <rFont val="Noto Sans CJK SC"/>
        <family val="2"/>
      </rPr>
      <t>監視</t>
    </r>
  </si>
  <si>
    <r>
      <rPr>
        <sz val="11"/>
        <rFont val="Noto Sans CJK SC"/>
        <family val="2"/>
      </rPr>
      <t>術中に心筋虚血（</t>
    </r>
    <r>
      <rPr>
        <sz val="11"/>
        <rFont val="游ゴシック"/>
        <family val="3"/>
        <charset val="128"/>
      </rPr>
      <t>ST</t>
    </r>
    <r>
      <rPr>
        <sz val="11"/>
        <rFont val="Noto Sans CJK SC"/>
        <family val="2"/>
      </rPr>
      <t>変化）を認めた。対応は。</t>
    </r>
  </si>
  <si>
    <r>
      <rPr>
        <sz val="11"/>
        <rFont val="Noto Sans CJK SC"/>
        <family val="2"/>
      </rPr>
      <t>・酸素化・換気の確認
・心拍数を下げる（</t>
    </r>
    <r>
      <rPr>
        <sz val="11"/>
        <rFont val="游ゴシック"/>
        <family val="3"/>
        <charset val="128"/>
      </rPr>
      <t>β</t>
    </r>
    <r>
      <rPr>
        <sz val="11"/>
        <rFont val="Noto Sans CJK SC"/>
        <family val="2"/>
      </rPr>
      <t>遮断薬）
・血圧を適正化（低ければ昇圧、高ければ降圧）
・硝酸薬
・貧血の補正
・</t>
    </r>
    <r>
      <rPr>
        <sz val="11"/>
        <rFont val="游ゴシック"/>
        <family val="3"/>
        <charset val="128"/>
      </rPr>
      <t>12</t>
    </r>
    <r>
      <rPr>
        <sz val="11"/>
        <rFont val="Noto Sans CJK SC"/>
        <family val="2"/>
      </rPr>
      <t>誘導心電図・心エコー
・循環器へコンサルト</t>
    </r>
  </si>
  <si>
    <t>冠動脈ステント</t>
  </si>
  <si>
    <t>ステント留置後の抗血小板薬の周術期管理は。</t>
  </si>
  <si>
    <t>心不全</t>
  </si>
  <si>
    <r>
      <rPr>
        <sz val="11"/>
        <rFont val="Noto Sans CJK SC"/>
        <family val="2"/>
      </rPr>
      <t>低心機能（低</t>
    </r>
    <r>
      <rPr>
        <sz val="11"/>
        <rFont val="游ゴシック"/>
        <family val="3"/>
        <charset val="128"/>
      </rPr>
      <t>EF</t>
    </r>
    <r>
      <rPr>
        <sz val="11"/>
        <rFont val="Noto Sans CJK SC"/>
        <family val="2"/>
      </rPr>
      <t>）患者の麻酔の要点は。</t>
    </r>
  </si>
  <si>
    <t>大動脈弁狭窄症</t>
  </si>
  <si>
    <r>
      <rPr>
        <sz val="11"/>
        <rFont val="Noto Sans CJK SC"/>
        <family val="2"/>
      </rPr>
      <t>大動脈弁狭窄症（</t>
    </r>
    <r>
      <rPr>
        <sz val="11"/>
        <rFont val="游ゴシック"/>
        <family val="3"/>
        <charset val="128"/>
      </rPr>
      <t>AS</t>
    </r>
    <r>
      <rPr>
        <sz val="11"/>
        <rFont val="Noto Sans CJK SC"/>
        <family val="2"/>
      </rPr>
      <t>）の管理原則は。</t>
    </r>
  </si>
  <si>
    <t>・洞調律の維持
・頻脈を避ける（拡張期充満・冠灌流）
・前負荷を保つ
・体血管抵抗を維持（フェニレフリン）
・低血圧は速やかに是正
・脊椎麻酔は慎重に</t>
  </si>
  <si>
    <t>僧帽弁閉鎖不全症</t>
  </si>
  <si>
    <r>
      <rPr>
        <sz val="11"/>
        <rFont val="Noto Sans CJK SC"/>
        <family val="2"/>
      </rPr>
      <t>僧帽弁閉鎖不全症（</t>
    </r>
    <r>
      <rPr>
        <sz val="11"/>
        <rFont val="游ゴシック"/>
        <family val="3"/>
        <charset val="128"/>
      </rPr>
      <t>MR</t>
    </r>
    <r>
      <rPr>
        <sz val="11"/>
        <rFont val="Noto Sans CJK SC"/>
        <family val="2"/>
      </rPr>
      <t>）の管理原則は。</t>
    </r>
  </si>
  <si>
    <t>心房細動</t>
  </si>
  <si>
    <t>術中の心房細動への対応は。</t>
  </si>
  <si>
    <t>ペースメーカー</t>
  </si>
  <si>
    <r>
      <rPr>
        <sz val="11"/>
        <rFont val="Noto Sans CJK SC"/>
        <family val="2"/>
      </rPr>
      <t>ペースメーカー・</t>
    </r>
    <r>
      <rPr>
        <sz val="11"/>
        <rFont val="游ゴシック"/>
        <family val="3"/>
        <charset val="128"/>
      </rPr>
      <t>ICD</t>
    </r>
    <r>
      <rPr>
        <sz val="11"/>
        <rFont val="Noto Sans CJK SC"/>
        <family val="2"/>
      </rPr>
      <t>植込み患者の周術期管理は。</t>
    </r>
  </si>
  <si>
    <t>COPD</t>
  </si>
  <si>
    <r>
      <rPr>
        <sz val="11"/>
        <rFont val="游ゴシック"/>
        <family val="3"/>
        <charset val="128"/>
      </rPr>
      <t>COPD</t>
    </r>
    <r>
      <rPr>
        <sz val="11"/>
        <rFont val="Noto Sans CJK SC"/>
        <family val="2"/>
      </rPr>
      <t>患者の周術期の注意点は。</t>
    </r>
  </si>
  <si>
    <r>
      <rPr>
        <sz val="11"/>
        <rFont val="Noto Sans CJK SC"/>
        <family val="2"/>
      </rPr>
      <t>・術前の禁煙・気管支拡張薬・呼吸リハ
・</t>
    </r>
    <r>
      <rPr>
        <sz val="11"/>
        <rFont val="游ゴシック"/>
        <family val="3"/>
        <charset val="128"/>
      </rPr>
      <t>auto-PEEP</t>
    </r>
    <r>
      <rPr>
        <sz val="11"/>
        <rFont val="Noto Sans CJK SC"/>
        <family val="2"/>
      </rPr>
      <t>と気道内圧上昇
・呼気時間を長くとる
・術後の無気肺・肺炎
・硬膜外併用で早期離床
・高濃度酸素での</t>
    </r>
    <r>
      <rPr>
        <sz val="11"/>
        <rFont val="游ゴシック"/>
        <family val="3"/>
        <charset val="128"/>
      </rPr>
      <t>CO2</t>
    </r>
    <r>
      <rPr>
        <sz val="11"/>
        <rFont val="Noto Sans CJK SC"/>
        <family val="2"/>
      </rPr>
      <t>ナルコーシス</t>
    </r>
  </si>
  <si>
    <t>喘息</t>
  </si>
  <si>
    <t>喘息患者の気管支痙攣を予防する工夫は。</t>
  </si>
  <si>
    <t>睡眠時無呼吸</t>
  </si>
  <si>
    <r>
      <rPr>
        <sz val="11"/>
        <rFont val="Noto Sans CJK SC"/>
        <family val="2"/>
      </rPr>
      <t>睡眠時無呼吸（</t>
    </r>
    <r>
      <rPr>
        <sz val="11"/>
        <rFont val="游ゴシック"/>
        <family val="3"/>
        <charset val="128"/>
      </rPr>
      <t>OSA</t>
    </r>
    <r>
      <rPr>
        <sz val="11"/>
        <rFont val="Noto Sans CJK SC"/>
        <family val="2"/>
      </rPr>
      <t>）患者の注意点は。</t>
    </r>
  </si>
  <si>
    <r>
      <rPr>
        <sz val="11"/>
        <rFont val="Noto Sans CJK SC"/>
        <family val="2"/>
      </rPr>
      <t>・マスク換気・挿管困難
・鎮静薬・オピオイドへの感受性が高い
・術後の上気道閉塞・低酸素
・完全覚醒を確認して抜管
・頭高位・側臥位
・術後</t>
    </r>
    <r>
      <rPr>
        <sz val="11"/>
        <rFont val="游ゴシック"/>
        <family val="3"/>
        <charset val="128"/>
      </rPr>
      <t>CPAP</t>
    </r>
    <r>
      <rPr>
        <sz val="11"/>
        <rFont val="Noto Sans CJK SC"/>
        <family val="2"/>
      </rPr>
      <t>の継続
・術後モニタリング</t>
    </r>
  </si>
  <si>
    <t>肥満</t>
  </si>
  <si>
    <t>肥満患者の麻酔の注意点は。</t>
  </si>
  <si>
    <t>糖尿病</t>
  </si>
  <si>
    <t>糖尿病患者の術中血糖管理は。</t>
  </si>
  <si>
    <t>糖尿病患者に特有の周術期リスクは。</t>
  </si>
  <si>
    <r>
      <rPr>
        <sz val="11"/>
        <rFont val="Noto Sans CJK SC"/>
        <family val="2"/>
      </rPr>
      <t>・自律神経障害（血圧変動、無症候性心筋虚血、胃内容停滞）
・感染・創傷治癒遅延
・腎機能低下
・挿管困難（</t>
    </r>
    <r>
      <rPr>
        <sz val="11"/>
        <rFont val="游ゴシック"/>
        <family val="3"/>
        <charset val="128"/>
      </rPr>
      <t>stiff joint syndrome</t>
    </r>
    <r>
      <rPr>
        <sz val="11"/>
        <rFont val="Noto Sans CJK SC"/>
        <family val="2"/>
      </rPr>
      <t>）
・</t>
    </r>
    <r>
      <rPr>
        <sz val="11"/>
        <rFont val="游ゴシック"/>
        <family val="3"/>
        <charset val="128"/>
      </rPr>
      <t>SGLT2</t>
    </r>
    <r>
      <rPr>
        <sz val="11"/>
        <rFont val="Noto Sans CJK SC"/>
        <family val="2"/>
      </rPr>
      <t>阻害薬による正常血糖ケトアシドーシス</t>
    </r>
  </si>
  <si>
    <t>慢性腎臓病</t>
  </si>
  <si>
    <t>透析患者の周術期管理の注意点は。</t>
  </si>
  <si>
    <t>肝硬変</t>
  </si>
  <si>
    <t>肝硬変患者の麻酔の注意点は。</t>
  </si>
  <si>
    <t>・凝固障害・血小板減少
・低アルブミン血症（薬の遊離型増加）
・腹水・食道静脈瘤
・薬物代謝の遷延
・肝血流の維持（低血圧・過換気を避ける）
・低血糖
・肝性脳症
・術後の肝不全・腎不全</t>
  </si>
  <si>
    <t>甲状腺機能亢進症</t>
  </si>
  <si>
    <t>甲状腺機能亢進症の周術期の注意点は。</t>
  </si>
  <si>
    <r>
      <rPr>
        <sz val="11"/>
        <rFont val="Noto Sans CJK SC"/>
        <family val="2"/>
      </rPr>
      <t>・コントロール不良なら待機手術を延期
・</t>
    </r>
    <r>
      <rPr>
        <sz val="11"/>
        <rFont val="游ゴシック"/>
        <family val="3"/>
        <charset val="128"/>
      </rPr>
      <t>β</t>
    </r>
    <r>
      <rPr>
        <sz val="11"/>
        <rFont val="Noto Sans CJK SC"/>
        <family val="2"/>
      </rPr>
      <t>遮断薬・抗甲状腺薬の継続
・甲状腺クリーゼ（発熱、頻脈、意識障害、心不全）
・交感神経刺激薬・抗コリン薬は控えめ
・十分な麻酔深度</t>
    </r>
  </si>
  <si>
    <t>甲状腺機能低下症</t>
  </si>
  <si>
    <t>甲状腺機能低下症の周術期の注意点は。</t>
  </si>
  <si>
    <r>
      <rPr>
        <sz val="11"/>
        <rFont val="Noto Sans CJK SC"/>
        <family val="2"/>
      </rPr>
      <t>・麻酔薬への感受性亢進
・徐脈・低血圧・心拍出量低下
・低体温
・覚醒遅延
・腸管蠕動低下・イレウス
・低</t>
    </r>
    <r>
      <rPr>
        <sz val="11"/>
        <rFont val="游ゴシック"/>
        <family val="3"/>
        <charset val="128"/>
      </rPr>
      <t>Na</t>
    </r>
    <r>
      <rPr>
        <sz val="11"/>
        <rFont val="Noto Sans CJK SC"/>
        <family val="2"/>
      </rPr>
      <t>血症
・粘液水腫昏睡</t>
    </r>
  </si>
  <si>
    <t>副腎・ステロイド</t>
  </si>
  <si>
    <t>ステロイド長期内服患者の周術期対応は。</t>
  </si>
  <si>
    <r>
      <rPr>
        <sz val="11"/>
        <rFont val="Noto Sans CJK SC"/>
        <family val="2"/>
      </rPr>
      <t xml:space="preserve">・副腎不全のリスク
・ステロイドカバー（ヒドロコルチゾン </t>
    </r>
    <r>
      <rPr>
        <sz val="11"/>
        <rFont val="游ゴシック"/>
        <family val="3"/>
        <charset val="128"/>
      </rPr>
      <t>50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100mg</t>
    </r>
    <r>
      <rPr>
        <sz val="11"/>
        <rFont val="Noto Sans CJK SC"/>
        <family val="2"/>
      </rPr>
      <t>など手術侵襲に応じて）
・原因不明の低血圧では副腎不全を疑う
・低</t>
    </r>
    <r>
      <rPr>
        <sz val="11"/>
        <rFont val="游ゴシック"/>
        <family val="3"/>
        <charset val="128"/>
      </rPr>
      <t>Na</t>
    </r>
    <r>
      <rPr>
        <sz val="11"/>
        <rFont val="Noto Sans CJK SC"/>
        <family val="2"/>
      </rPr>
      <t>・高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・低血糖
・易感染・皮膚脆弱</t>
    </r>
  </si>
  <si>
    <t>褐色細胞腫</t>
  </si>
  <si>
    <t>褐色細胞腫の周術期管理は。</t>
  </si>
  <si>
    <r>
      <rPr>
        <sz val="11"/>
        <rFont val="Noto Sans CJK SC"/>
        <family val="2"/>
      </rPr>
      <t>・術前の</t>
    </r>
    <r>
      <rPr>
        <sz val="11"/>
        <rFont val="游ゴシック"/>
        <family val="3"/>
        <charset val="128"/>
      </rPr>
      <t>α</t>
    </r>
    <r>
      <rPr>
        <sz val="11"/>
        <rFont val="Noto Sans CJK SC"/>
        <family val="2"/>
      </rPr>
      <t>遮断薬（数週間）と輸液負荷
・腫瘍操作時の高血圧クリーゼ（ニカルジピン、フェントラミン、ニトロプルシド）
・頻脈には</t>
    </r>
    <r>
      <rPr>
        <sz val="11"/>
        <rFont val="游ゴシック"/>
        <family val="3"/>
        <charset val="128"/>
      </rPr>
      <t>β</t>
    </r>
    <r>
      <rPr>
        <sz val="11"/>
        <rFont val="Noto Sans CJK SC"/>
        <family val="2"/>
      </rPr>
      <t>遮断薬（</t>
    </r>
    <r>
      <rPr>
        <sz val="11"/>
        <rFont val="游ゴシック"/>
        <family val="3"/>
        <charset val="128"/>
      </rPr>
      <t>α</t>
    </r>
    <r>
      <rPr>
        <sz val="11"/>
        <rFont val="Noto Sans CJK SC"/>
        <family val="2"/>
      </rPr>
      <t>遮断後に）
・腫瘍摘出後の低血圧（輸液、ノルアドレナリン）
・術後の低血糖</t>
    </r>
  </si>
  <si>
    <t>脳血管障害</t>
  </si>
  <si>
    <t>脳梗塞の既往がある患者の術中管理は。</t>
  </si>
  <si>
    <t>・血圧は高めに維持（自動調節能が右方偏位）
・極端な過換気を避ける
・貧血・低酸素を避ける
・頸部の過度な回旋・伸展を避ける
・抗血小板薬の休薬期間
・術後の神経症状の評価</t>
  </si>
  <si>
    <t>てんかん</t>
  </si>
  <si>
    <t>てんかん患者の周術期の注意点は。</t>
  </si>
  <si>
    <r>
      <rPr>
        <sz val="11"/>
        <rFont val="Noto Sans CJK SC"/>
        <family val="2"/>
      </rPr>
      <t>・抗てんかん薬を当日朝まで継続し、早期に再開
・術中・術後のけいれん
・酵素誘導により筋弛緩薬の必要量が増える
・けいれん閾値を下げうる薬に注意
・低</t>
    </r>
    <r>
      <rPr>
        <sz val="11"/>
        <rFont val="游ゴシック"/>
        <family val="3"/>
        <charset val="128"/>
      </rPr>
      <t>Na</t>
    </r>
    <r>
      <rPr>
        <sz val="11"/>
        <rFont val="Noto Sans CJK SC"/>
        <family val="2"/>
      </rPr>
      <t>・低血糖・アルコール離脱の鑑別</t>
    </r>
  </si>
  <si>
    <t>パーキンソン病</t>
  </si>
  <si>
    <t>パーキンソン病患者の注意点は。</t>
  </si>
  <si>
    <t>重症筋無力症</t>
  </si>
  <si>
    <t>重症筋無力症の患者の麻酔の注意点は。</t>
  </si>
  <si>
    <t>関節リウマチ</t>
  </si>
  <si>
    <t>関節リウマチ患者の気道管理の注意点は。</t>
  </si>
  <si>
    <t>・環軸椎亜脱臼（頸部の愛護的操作、ビデオ喉頭鏡）
・開口制限・顎関節障害
・輪状披裂関節炎（嗄声、術後の気道狭窄）
・ステロイドカバー
・貧血・薬剤性の骨髄抑制
・皮膚・関節の保護</t>
  </si>
  <si>
    <t>高齢者</t>
  </si>
  <si>
    <t>高齢者の麻酔で注意することは。</t>
  </si>
  <si>
    <t>・麻酔薬の必要量減少
・循環予備能・圧受容体反射の低下
・低体温になりやすい
・術後せん妄（ベンゾジアゼピンを避ける、疼痛管理、早期離床）
・誤嚥・術後肺炎
・腎・肝機能低下
・皮膚・関節の脆弱性</t>
  </si>
  <si>
    <t>認知症</t>
  </si>
  <si>
    <t>認知症患者の周術期の注意点は。</t>
  </si>
  <si>
    <t>・術後せん妄・認知機能低下
・ベンゾジアゼピン・抗コリン薬を避ける
・疼痛評価が困難
・不穏による自己抜管・転倒
・家族・環境調整、早期離床
・誤嚥</t>
  </si>
  <si>
    <t>貧血</t>
  </si>
  <si>
    <t>術前貧血への対応と術中の注意点は。</t>
  </si>
  <si>
    <r>
      <rPr>
        <sz val="11"/>
        <rFont val="Noto Sans CJK SC"/>
        <family val="2"/>
      </rPr>
      <t>・術前に原因検索と鉄剤・エリスロポエチン
・酸素運搬能の低下
・頻脈・心筋虚血
・輸血トリガーは</t>
    </r>
    <r>
      <rPr>
        <sz val="11"/>
        <rFont val="游ゴシック"/>
        <family val="3"/>
        <charset val="128"/>
      </rPr>
      <t>Hb 7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8g/dL
</t>
    </r>
    <r>
      <rPr>
        <sz val="11"/>
        <rFont val="Noto Sans CJK SC"/>
        <family val="2"/>
      </rPr>
      <t>・出血量の予測と輸血準備</t>
    </r>
  </si>
  <si>
    <t>抗血栓薬</t>
  </si>
  <si>
    <r>
      <rPr>
        <sz val="11"/>
        <rFont val="Noto Sans CJK SC"/>
        <family val="2"/>
      </rPr>
      <t>ワルファリン・</t>
    </r>
    <r>
      <rPr>
        <sz val="11"/>
        <rFont val="游ゴシック"/>
        <family val="3"/>
        <charset val="128"/>
      </rPr>
      <t>DOAC</t>
    </r>
    <r>
      <rPr>
        <sz val="11"/>
        <rFont val="Noto Sans CJK SC"/>
        <family val="2"/>
      </rPr>
      <t>の周術期の休薬は。</t>
    </r>
  </si>
  <si>
    <r>
      <rPr>
        <sz val="11"/>
        <rFont val="Noto Sans CJK SC"/>
        <family val="2"/>
      </rPr>
      <t>・ワルファリン：</t>
    </r>
    <r>
      <rPr>
        <sz val="11"/>
        <rFont val="游ゴシック"/>
        <family val="3"/>
        <charset val="128"/>
      </rPr>
      <t>3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5</t>
    </r>
    <r>
      <rPr>
        <sz val="11"/>
        <rFont val="Noto Sans CJK SC"/>
        <family val="2"/>
      </rPr>
      <t>日前中止、必要ならヘパリン置換、</t>
    </r>
    <r>
      <rPr>
        <sz val="11"/>
        <rFont val="游ゴシック"/>
        <family val="3"/>
        <charset val="128"/>
      </rPr>
      <t>PT-INR</t>
    </r>
    <r>
      <rPr>
        <sz val="11"/>
        <rFont val="Noto Sans CJK SC"/>
        <family val="2"/>
      </rPr>
      <t>で確認
・</t>
    </r>
    <r>
      <rPr>
        <sz val="11"/>
        <rFont val="游ゴシック"/>
        <family val="3"/>
        <charset val="128"/>
      </rPr>
      <t>DOAC</t>
    </r>
    <r>
      <rPr>
        <sz val="11"/>
        <rFont val="Noto Sans CJK SC"/>
        <family val="2"/>
      </rPr>
      <t>：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2</t>
    </r>
    <r>
      <rPr>
        <sz val="11"/>
        <rFont val="Noto Sans CJK SC"/>
        <family val="2"/>
      </rPr>
      <t>日前中止（腎機能で延長）
・緊急拮抗：ビタミン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、</t>
    </r>
    <r>
      <rPr>
        <sz val="11"/>
        <rFont val="游ゴシック"/>
        <family val="3"/>
        <charset val="128"/>
      </rPr>
      <t>PCC</t>
    </r>
    <r>
      <rPr>
        <sz val="11"/>
        <rFont val="Noto Sans CJK SC"/>
        <family val="2"/>
      </rPr>
      <t>、イダルシズマブ
・区域麻酔は休薬期間を厳守（脊髄血腫）</t>
    </r>
  </si>
  <si>
    <t>妊娠</t>
  </si>
  <si>
    <t>妊婦の非産科手術の注意点は。</t>
  </si>
  <si>
    <t>・誤嚥のリスク（迅速導入）
・仰臥位低血圧症候群（子宮左方転位）
・機能的残気量低下で脱飽和が速い
・気道浮腫で挿管困難
・低血圧はフェニレフリンで是正
・胎児心拍モニタ・早産
・可能なら妊娠中期に、放射線被曝を最小化</t>
  </si>
  <si>
    <t>誤嚥</t>
  </si>
  <si>
    <t>誤嚥のリスクが高い患者と対策は。</t>
  </si>
  <si>
    <t>・緊急手術・フルストマック
・イレウス・腹腔内圧上昇
・妊婦
・肥満・胃食道逆流
・糖尿病性胃不全麻痺
・対策：迅速導入、胃管、頭高位、制酸薬、覚醒後の抜管</t>
  </si>
  <si>
    <t>アルコール</t>
  </si>
  <si>
    <t>アルコール多飲者の周術期の注意点は。</t>
  </si>
  <si>
    <r>
      <rPr>
        <sz val="11"/>
        <rFont val="Noto Sans CJK SC"/>
        <family val="2"/>
      </rPr>
      <t>・麻酔薬の必要量増加（耐性）
・術後の離脱症状（</t>
    </r>
    <r>
      <rPr>
        <sz val="11"/>
        <rFont val="游ゴシック"/>
        <family val="3"/>
        <charset val="128"/>
      </rPr>
      <t>48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72</t>
    </r>
    <r>
      <rPr>
        <sz val="11"/>
        <rFont val="Noto Sans CJK SC"/>
        <family val="2"/>
      </rPr>
      <t>時間）
・肝障害・凝固異常・低血糖
・ビタミン</t>
    </r>
    <r>
      <rPr>
        <sz val="11"/>
        <rFont val="游ゴシック"/>
        <family val="3"/>
        <charset val="128"/>
      </rPr>
      <t>B1</t>
    </r>
    <r>
      <rPr>
        <sz val="11"/>
        <rFont val="Noto Sans CJK SC"/>
        <family val="2"/>
      </rPr>
      <t>欠乏（</t>
    </r>
    <r>
      <rPr>
        <sz val="11"/>
        <rFont val="游ゴシック"/>
        <family val="3"/>
        <charset val="128"/>
      </rPr>
      <t>Wernicke</t>
    </r>
    <r>
      <rPr>
        <sz val="11"/>
        <rFont val="Noto Sans CJK SC"/>
        <family val="2"/>
      </rPr>
      <t>脳症）
・アルコール性心筋症
・電解質異常（低</t>
    </r>
    <r>
      <rPr>
        <sz val="11"/>
        <rFont val="游ゴシック"/>
        <family val="3"/>
        <charset val="128"/>
      </rPr>
      <t>Mg</t>
    </r>
    <r>
      <rPr>
        <sz val="11"/>
        <rFont val="Noto Sans CJK SC"/>
        <family val="2"/>
      </rPr>
      <t>、低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）</t>
    </r>
  </si>
  <si>
    <t>喫煙</t>
  </si>
  <si>
    <t>喫煙者の周術期リスクと禁煙の目安は。</t>
  </si>
  <si>
    <r>
      <rPr>
        <sz val="11"/>
        <rFont val="Noto Sans CJK SC"/>
        <family val="2"/>
      </rPr>
      <t>・気道過敏性亢進・分泌物増加
・術後の無気肺・肺炎
・創傷治癒遅延
・</t>
    </r>
    <r>
      <rPr>
        <sz val="11"/>
        <rFont val="游ゴシック"/>
        <family val="3"/>
        <charset val="128"/>
      </rPr>
      <t>24</t>
    </r>
    <r>
      <rPr>
        <sz val="11"/>
        <rFont val="Noto Sans CJK SC"/>
        <family val="2"/>
      </rPr>
      <t>時間で一酸化炭素ヘモグロビンが低下
・理想は</t>
    </r>
    <r>
      <rPr>
        <sz val="11"/>
        <rFont val="游ゴシック"/>
        <family val="3"/>
        <charset val="128"/>
      </rPr>
      <t>4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8</t>
    </r>
    <r>
      <rPr>
        <sz val="11"/>
        <rFont val="Noto Sans CJK SC"/>
        <family val="2"/>
      </rPr>
      <t>週間前からの禁煙</t>
    </r>
  </si>
  <si>
    <t>悪性高熱</t>
  </si>
  <si>
    <t>悪性高熱素因のある患者の麻酔準備は。</t>
  </si>
  <si>
    <r>
      <rPr>
        <sz val="11"/>
        <rFont val="Noto Sans CJK SC"/>
        <family val="2"/>
      </rPr>
      <t>・揮発性麻酔薬とスキサメトニウムを使わない（</t>
    </r>
    <r>
      <rPr>
        <sz val="11"/>
        <rFont val="游ゴシック"/>
        <family val="3"/>
        <charset val="128"/>
      </rPr>
      <t>TIVA</t>
    </r>
    <r>
      <rPr>
        <sz val="11"/>
        <rFont val="Noto Sans CJK SC"/>
        <family val="2"/>
      </rPr>
      <t>）
・蒸発器を外し、新しい回路・ソーダライムに交換、麻酔器を十分にフラッシュ
・ダントロレンの準備
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・体温・心拍数を厳重に監視
・局所麻酔薬は使用可</t>
    </r>
  </si>
  <si>
    <t>アレルギー</t>
  </si>
  <si>
    <t>周術期アナフィラキシーの原因薬として多いものは。</t>
  </si>
  <si>
    <t>・筋弛緩薬（ロクロニウムなど）
・抗菌薬
・ラテックス
・造影剤
・消毒薬（クロルヘキシジン）
・コロイド輸液
・血液製剤</t>
  </si>
  <si>
    <t>筋疾患</t>
  </si>
  <si>
    <t>筋ジストロフィーなど筋疾患患者の注意点は。</t>
  </si>
  <si>
    <r>
      <rPr>
        <sz val="11"/>
        <rFont val="Noto Sans CJK SC"/>
        <family val="2"/>
      </rPr>
      <t>・スキサメトニウム禁忌（高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血症・心停止・横紋筋融解）
・揮発性麻酔薬は慎重（横紋筋融解様反応）
・非脱分極性筋弛緩薬に高感受性
・心筋症・不整脈
・呼吸筋力低下・術後呼吸不全
・誤嚥</t>
    </r>
  </si>
  <si>
    <t>術式別</t>
  </si>
  <si>
    <t>腹腔鏡</t>
  </si>
  <si>
    <t>気腹によって起こる生理学的変化は。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</si>
  <si>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上昇（</t>
    </r>
    <r>
      <rPr>
        <sz val="11"/>
        <rFont val="游ゴシック"/>
        <family val="3"/>
        <charset val="128"/>
      </rPr>
      <t>CO2</t>
    </r>
    <r>
      <rPr>
        <sz val="11"/>
        <rFont val="Noto Sans CJK SC"/>
        <family val="2"/>
      </rPr>
      <t>吸収）
・気道内圧上昇・機能的残気量低下
・静脈還流低下・心拍出量低下
・体血管抵抗上昇
・迷走神経反射による徐脈
・尿量減少
・頭低位で増強</t>
    </r>
  </si>
  <si>
    <t>腹腔鏡手術で起こりやすいアクシデントは。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</si>
  <si>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CO2</t>
    </r>
    <r>
      <rPr>
        <sz val="11"/>
        <rFont val="Noto Sans CJK SC"/>
        <family val="2"/>
      </rPr>
      <t>塞栓
・皮下気腫・縦隔気腫・気胸
・気腹開始時の徐脈・心停止
・トロッカーによる血管・腸管損傷
・片肺挿管（頭低位・気腹）
・術後の肩の痛み</t>
    </r>
  </si>
  <si>
    <r>
      <rPr>
        <sz val="11"/>
        <rFont val="Noto Sans CJK SC"/>
        <family val="2"/>
      </rPr>
      <t>術中に</t>
    </r>
    <r>
      <rPr>
        <sz val="11"/>
        <rFont val="游ゴシック"/>
        <family val="3"/>
        <charset val="128"/>
      </rPr>
      <t>CO2</t>
    </r>
    <r>
      <rPr>
        <sz val="11"/>
        <rFont val="Noto Sans CJK SC"/>
        <family val="2"/>
      </rPr>
      <t>塞栓を疑う所見と対応は。</t>
    </r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</si>
  <si>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の急激な低下
・</t>
    </r>
    <r>
      <rPr>
        <sz val="11"/>
        <rFont val="游ゴシック"/>
        <family val="3"/>
        <charset val="128"/>
      </rPr>
      <t>SpO2</t>
    </r>
    <r>
      <rPr>
        <sz val="11"/>
        <rFont val="Noto Sans CJK SC"/>
        <family val="2"/>
      </rPr>
      <t>低下・血圧低下
・</t>
    </r>
    <r>
      <rPr>
        <sz val="11"/>
        <rFont val="游ゴシック"/>
        <family val="3"/>
        <charset val="128"/>
      </rPr>
      <t xml:space="preserve">mill-wheel murmur
</t>
    </r>
    <r>
      <rPr>
        <sz val="11"/>
        <rFont val="Noto Sans CJK SC"/>
        <family val="2"/>
      </rPr>
      <t>・気腹の中止・脱気
・</t>
    </r>
    <r>
      <rPr>
        <sz val="11"/>
        <rFont val="游ゴシック"/>
        <family val="3"/>
        <charset val="128"/>
      </rPr>
      <t>100%</t>
    </r>
    <r>
      <rPr>
        <sz val="11"/>
        <rFont val="Noto Sans CJK SC"/>
        <family val="2"/>
      </rPr>
      <t>酸素
・頭低位・左側臥位
・循環補助・中心静脈からの吸引</t>
    </r>
  </si>
  <si>
    <t>ロボット支援手術</t>
  </si>
  <si>
    <t>強い頭低位（ロボット支援前立腺全摘など）の注意点は。</t>
  </si>
  <si>
    <t>開胸・肺切除</t>
  </si>
  <si>
    <r>
      <rPr>
        <sz val="11"/>
        <rFont val="Noto Sans CJK SC"/>
        <family val="2"/>
      </rPr>
      <t>分離肺換気中に</t>
    </r>
    <r>
      <rPr>
        <sz val="11"/>
        <rFont val="游ゴシック"/>
        <family val="3"/>
        <charset val="128"/>
      </rPr>
      <t>SpO2</t>
    </r>
    <r>
      <rPr>
        <sz val="11"/>
        <rFont val="Noto Sans CJK SC"/>
        <family val="2"/>
      </rPr>
      <t>が低下した。対応は。</t>
    </r>
  </si>
  <si>
    <t>肺切除術の周術期の注意点は。</t>
  </si>
  <si>
    <t>頸動脈内膜剥離術</t>
  </si>
  <si>
    <r>
      <rPr>
        <sz val="11"/>
        <rFont val="Noto Sans CJK SC"/>
        <family val="2"/>
      </rPr>
      <t>頸動脈内膜剥離術（</t>
    </r>
    <r>
      <rPr>
        <sz val="11"/>
        <rFont val="游ゴシック"/>
        <family val="3"/>
        <charset val="128"/>
      </rPr>
      <t>CEA</t>
    </r>
    <r>
      <rPr>
        <sz val="11"/>
        <rFont val="Noto Sans CJK SC"/>
        <family val="2"/>
      </rPr>
      <t>）の管理の要点は。</t>
    </r>
  </si>
  <si>
    <r>
      <rPr>
        <sz val="11"/>
        <rFont val="Noto Sans CJK SC"/>
        <family val="2"/>
      </rPr>
      <t>・クランプ中は血圧を高めに維持
・解除後は高血圧を避ける（過灌流症候群）
・脳虚血モニタ（覚醒下手術、</t>
    </r>
    <r>
      <rPr>
        <sz val="11"/>
        <rFont val="游ゴシック"/>
        <family val="3"/>
        <charset val="128"/>
      </rPr>
      <t>NIRS</t>
    </r>
    <r>
      <rPr>
        <sz val="11"/>
        <rFont val="Noto Sans CJK SC"/>
        <family val="2"/>
      </rPr>
      <t>、</t>
    </r>
    <r>
      <rPr>
        <sz val="11"/>
        <rFont val="游ゴシック"/>
        <family val="3"/>
        <charset val="128"/>
      </rPr>
      <t>SEP</t>
    </r>
    <r>
      <rPr>
        <sz val="11"/>
        <rFont val="Noto Sans CJK SC"/>
        <family val="2"/>
      </rPr>
      <t>）
・頸動脈洞刺激による徐脈・低血圧
・術後の血腫による気道閉塞
・スムーズな覚醒と神経学的評価</t>
    </r>
  </si>
  <si>
    <t>脳神経外科</t>
  </si>
  <si>
    <t>開頭術の麻酔管理の要点は。</t>
  </si>
  <si>
    <t>甲状腺</t>
  </si>
  <si>
    <t>甲状腺手術の周術期の注意点は。</t>
  </si>
  <si>
    <t>耳鼻咽喉科</t>
  </si>
  <si>
    <t>気道レーザー手術での火災予防と対応は。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</si>
  <si>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FiO2</t>
    </r>
    <r>
      <rPr>
        <sz val="11"/>
        <rFont val="Noto Sans CJK SC"/>
        <family val="2"/>
      </rPr>
      <t>を</t>
    </r>
    <r>
      <rPr>
        <sz val="11"/>
        <rFont val="游ゴシック"/>
        <family val="3"/>
        <charset val="128"/>
      </rPr>
      <t>30%</t>
    </r>
    <r>
      <rPr>
        <sz val="11"/>
        <rFont val="Noto Sans CJK SC"/>
        <family val="2"/>
      </rPr>
      <t>以下に、亜酸化窒素は使わない
・レーザー用気管チューブ
・カフに生理食塩水（色素入り）を注入
・火災時：換気を止め、チューブを抜去、生理食塩水を注入
・気道熱傷の評価・再挿管</t>
    </r>
  </si>
  <si>
    <t>整形外科</t>
  </si>
  <si>
    <t>骨セメント使用時に起こる合併症と対策は。</t>
  </si>
  <si>
    <t>駆血帯（ターニケット）使用時の注意点は。</t>
  </si>
  <si>
    <r>
      <rPr>
        <sz val="11"/>
        <rFont val="Noto Sans CJK SC"/>
        <family val="2"/>
      </rPr>
      <t>・装着時間は原則</t>
    </r>
    <r>
      <rPr>
        <sz val="11"/>
        <rFont val="游ゴシック"/>
        <family val="3"/>
        <charset val="128"/>
      </rPr>
      <t>2</t>
    </r>
    <r>
      <rPr>
        <sz val="11"/>
        <rFont val="Noto Sans CJK SC"/>
        <family val="2"/>
      </rPr>
      <t>時間以内
・駆血中の疼痛・高血圧（</t>
    </r>
    <r>
      <rPr>
        <sz val="11"/>
        <rFont val="游ゴシック"/>
        <family val="3"/>
        <charset val="128"/>
      </rPr>
      <t>tourniquet pain</t>
    </r>
    <r>
      <rPr>
        <sz val="11"/>
        <rFont val="Noto Sans CJK SC"/>
        <family val="2"/>
      </rPr>
      <t>）
・解除後の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上昇・高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血症・アシドーシス・血圧低下
・神経障害・皮膚障害
・深部静脈血栓の遊離</t>
    </r>
  </si>
  <si>
    <t>脊椎外科</t>
  </si>
  <si>
    <t>腹臥位手術の注意点は。</t>
  </si>
  <si>
    <t>・眼球圧迫による術後視力障害
・腹圧上昇による静脈うっ血と出血増加
・気管チューブ・ラインの抜けや屈曲
・体位変換時の循環変動
・顔面・舌の浮腫（抜管の判断）
・末梢神経・関節の圧迫</t>
  </si>
  <si>
    <t>泌尿器科</t>
  </si>
  <si>
    <r>
      <rPr>
        <sz val="11"/>
        <rFont val="游ゴシック"/>
        <family val="3"/>
        <charset val="128"/>
      </rPr>
      <t>TUR</t>
    </r>
    <r>
      <rPr>
        <sz val="11"/>
        <rFont val="Noto Sans CJK SC"/>
        <family val="2"/>
      </rPr>
      <t>症候群の症状と対応は。</t>
    </r>
  </si>
  <si>
    <r>
      <rPr>
        <sz val="11"/>
        <rFont val="Noto Sans CJK SC"/>
        <family val="2"/>
      </rPr>
      <t>経尿道的手術（</t>
    </r>
    <r>
      <rPr>
        <sz val="11"/>
        <rFont val="游ゴシック"/>
        <family val="3"/>
        <charset val="128"/>
      </rPr>
      <t>TUR-Bt</t>
    </r>
    <r>
      <rPr>
        <sz val="11"/>
        <rFont val="Noto Sans CJK SC"/>
        <family val="2"/>
      </rPr>
      <t>）で起こりやすいアクシデントは。</t>
    </r>
  </si>
  <si>
    <t>・閉鎖神経反射による下肢内転と膀胱穿孔
・膀胱穿孔（肩の痛み・腹部膨満）
・灌流液の吸収・低体温
・出血</t>
  </si>
  <si>
    <t>産科</t>
  </si>
  <si>
    <t>脊椎麻酔下帝王切開の管理の要点は。</t>
  </si>
  <si>
    <t>産科危機的出血への対応は。</t>
  </si>
  <si>
    <r>
      <rPr>
        <sz val="11"/>
        <rFont val="Noto Sans CJK SC"/>
        <family val="2"/>
      </rPr>
      <t>・応援要請・輸血の準備（大量輸血プロトコル）
・子宮収縮薬（オキシトシン、メチルエルゴメトリン、プロスタグランジン）
・子宮圧迫・バルーン・動脈塞栓・子宮摘出
・トラネキサム酸
・フィブリノゲンの補充
・羊水塞栓・</t>
    </r>
    <r>
      <rPr>
        <sz val="11"/>
        <rFont val="游ゴシック"/>
        <family val="3"/>
        <charset val="128"/>
      </rPr>
      <t>DIC</t>
    </r>
    <r>
      <rPr>
        <sz val="11"/>
        <rFont val="Noto Sans CJK SC"/>
        <family val="2"/>
      </rPr>
      <t>の鑑別</t>
    </r>
  </si>
  <si>
    <t>消化器外科</t>
  </si>
  <si>
    <t>肝切除術の麻酔管理の要点は。</t>
  </si>
  <si>
    <r>
      <rPr>
        <sz val="11"/>
        <rFont val="Noto Sans CJK SC"/>
        <family val="2"/>
      </rPr>
      <t>・中心静脈圧を低めに保ち出血を減らす
・</t>
    </r>
    <r>
      <rPr>
        <sz val="11"/>
        <rFont val="游ゴシック"/>
        <family val="3"/>
        <charset val="128"/>
      </rPr>
      <t>Pringle</t>
    </r>
    <r>
      <rPr>
        <sz val="11"/>
        <rFont val="Noto Sans CJK SC"/>
        <family val="2"/>
      </rPr>
      <t>法による血行動態変化
・空気塞栓
・大量出血・凝固障害
・低血糖
・低体温
・術後の肝機能低下</t>
    </r>
  </si>
  <si>
    <t>血管外科</t>
  </si>
  <si>
    <t>大動脈遮断（クランプ）と解除で起こることは。</t>
  </si>
  <si>
    <t>外傷</t>
  </si>
  <si>
    <t>外傷・大量出血症例の管理の要点は。</t>
  </si>
  <si>
    <r>
      <rPr>
        <sz val="11"/>
        <rFont val="Noto Sans CJK SC"/>
        <family val="2"/>
      </rPr>
      <t>・死の三徴（低体温・アシドーシス・凝固障害）の回避
・</t>
    </r>
    <r>
      <rPr>
        <sz val="11"/>
        <rFont val="游ゴシック"/>
        <family val="3"/>
        <charset val="128"/>
      </rPr>
      <t xml:space="preserve">damage control surgery
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1:1:1</t>
    </r>
    <r>
      <rPr>
        <sz val="11"/>
        <rFont val="Noto Sans CJK SC"/>
        <family val="2"/>
      </rPr>
      <t>の比率輸血
・</t>
    </r>
    <r>
      <rPr>
        <sz val="11"/>
        <rFont val="游ゴシック"/>
        <family val="3"/>
        <charset val="128"/>
      </rPr>
      <t>permissive hypotension</t>
    </r>
    <r>
      <rPr>
        <sz val="11"/>
        <rFont val="Noto Sans CJK SC"/>
        <family val="2"/>
      </rPr>
      <t>（頭部外傷では行わない）
・トラネキサム酸
・カルシウム補充
・急速輸血装置・加温</t>
    </r>
  </si>
  <si>
    <t>緊急手術</t>
  </si>
  <si>
    <t>緊急手術の全身麻酔の基本方針は。</t>
  </si>
  <si>
    <t>眼科</t>
  </si>
  <si>
    <t>手術室外</t>
  </si>
  <si>
    <r>
      <rPr>
        <sz val="11"/>
        <rFont val="Noto Sans CJK SC"/>
        <family val="2"/>
      </rPr>
      <t>手術室外（内視鏡・</t>
    </r>
    <r>
      <rPr>
        <sz val="11"/>
        <rFont val="游ゴシック"/>
        <family val="3"/>
        <charset val="128"/>
      </rPr>
      <t>IVR</t>
    </r>
    <r>
      <rPr>
        <sz val="11"/>
        <rFont val="Noto Sans CJK SC"/>
        <family val="2"/>
      </rPr>
      <t>など）の麻酔で注意することは。</t>
    </r>
  </si>
  <si>
    <t>区域麻酔</t>
  </si>
  <si>
    <t>・硬膜穿刺後頭痛
・局所麻酔薬中毒
・硬膜外血腫（抗凝固薬）
・硬膜外膿瘍
・全脊椎麻酔
・尿閉
・血圧低下</t>
  </si>
  <si>
    <t>末梢神経ブロックの合併症は。</t>
  </si>
  <si>
    <r>
      <rPr>
        <sz val="11"/>
        <rFont val="Noto Sans CJK SC"/>
        <family val="2"/>
      </rPr>
      <t>・局所麻酔薬中毒
・血管穿刺・血腫
・神経損傷
・気胸（腕神経叢ブロック、傍脊椎ブロック）
・横隔神経麻痺（斜角筋間ブロック）
・反回神経麻痺・</t>
    </r>
    <r>
      <rPr>
        <sz val="11"/>
        <rFont val="游ゴシック"/>
        <family val="3"/>
        <charset val="128"/>
      </rPr>
      <t>Horner</t>
    </r>
    <r>
      <rPr>
        <sz val="11"/>
        <rFont val="Noto Sans CJK SC"/>
        <family val="2"/>
      </rPr>
      <t>症候群</t>
    </r>
  </si>
  <si>
    <t>輸血・凝固</t>
  </si>
  <si>
    <t>赤血球</t>
  </si>
  <si>
    <r>
      <rPr>
        <sz val="11"/>
        <rFont val="Noto Sans CJK SC"/>
        <family val="2"/>
      </rPr>
      <t>・成人で約</t>
    </r>
    <r>
      <rPr>
        <sz val="11"/>
        <rFont val="游ゴシック"/>
        <family val="3"/>
        <charset val="128"/>
      </rPr>
      <t>1.0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1.5g/dL
</t>
    </r>
    <r>
      <rPr>
        <sz val="11"/>
        <rFont val="Noto Sans CJK SC"/>
        <family val="2"/>
      </rPr>
      <t>・体重・循環血液量で変わる
・出血が続いていれば上がらない</t>
    </r>
  </si>
  <si>
    <t>輸血の指標</t>
  </si>
  <si>
    <t>大量輸血</t>
  </si>
  <si>
    <t>大量輸血の定義は。</t>
  </si>
  <si>
    <t>大量輸血に伴う合併症は。</t>
  </si>
  <si>
    <t>FFP</t>
  </si>
  <si>
    <r>
      <rPr>
        <sz val="11"/>
        <rFont val="Noto Sans CJK SC"/>
        <family val="2"/>
      </rPr>
      <t>新鮮凍結血漿（</t>
    </r>
    <r>
      <rPr>
        <sz val="11"/>
        <rFont val="游ゴシック"/>
        <family val="3"/>
        <charset val="128"/>
      </rPr>
      <t>FFP</t>
    </r>
    <r>
      <rPr>
        <sz val="11"/>
        <rFont val="Noto Sans CJK SC"/>
        <family val="2"/>
      </rPr>
      <t>）の適応と投与量は。</t>
    </r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</si>
  <si>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PT-INR 2.0</t>
    </r>
    <r>
      <rPr>
        <sz val="11"/>
        <rFont val="Noto Sans CJK SC"/>
        <family val="2"/>
      </rPr>
      <t>以上または</t>
    </r>
    <r>
      <rPr>
        <sz val="11"/>
        <rFont val="游ゴシック"/>
        <family val="3"/>
        <charset val="128"/>
      </rPr>
      <t>APTT</t>
    </r>
    <r>
      <rPr>
        <sz val="11"/>
        <rFont val="Noto Sans CJK SC"/>
        <family val="2"/>
      </rPr>
      <t>延長を伴う出血
・大量出血・希釈性凝固障害
・フィブリノゲン低下
・ワルファリンの緊急拮抗
・</t>
    </r>
    <r>
      <rPr>
        <sz val="11"/>
        <rFont val="游ゴシック"/>
        <family val="3"/>
        <charset val="128"/>
      </rPr>
      <t>10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15mL/kg</t>
    </r>
  </si>
  <si>
    <t>血小板</t>
  </si>
  <si>
    <t>血小板輸血の適応と効果の目安は。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</si>
  <si>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5</t>
    </r>
    <r>
      <rPr>
        <sz val="11"/>
        <rFont val="Noto Sans CJK SC"/>
        <family val="2"/>
      </rPr>
      <t>万</t>
    </r>
    <r>
      <rPr>
        <sz val="11"/>
        <rFont val="游ゴシック"/>
        <family val="3"/>
        <charset val="128"/>
      </rPr>
      <t>/μL</t>
    </r>
    <r>
      <rPr>
        <sz val="11"/>
        <rFont val="Noto Sans CJK SC"/>
        <family val="2"/>
      </rPr>
      <t>未満で出血または手術
・脳外科・眼科では</t>
    </r>
    <r>
      <rPr>
        <sz val="11"/>
        <rFont val="游ゴシック"/>
        <family val="3"/>
        <charset val="128"/>
      </rPr>
      <t>10</t>
    </r>
    <r>
      <rPr>
        <sz val="11"/>
        <rFont val="Noto Sans CJK SC"/>
        <family val="2"/>
      </rPr>
      <t>万</t>
    </r>
    <r>
      <rPr>
        <sz val="11"/>
        <rFont val="游ゴシック"/>
        <family val="3"/>
        <charset val="128"/>
      </rPr>
      <t xml:space="preserve">/μL
</t>
    </r>
    <r>
      <rPr>
        <sz val="11"/>
        <rFont val="Noto Sans CJK SC"/>
        <family val="2"/>
      </rPr>
      <t>・血小板機能異常（抗血小板薬）
・成人で</t>
    </r>
    <r>
      <rPr>
        <sz val="11"/>
        <rFont val="游ゴシック"/>
        <family val="3"/>
        <charset val="128"/>
      </rPr>
      <t>10</t>
    </r>
    <r>
      <rPr>
        <sz val="11"/>
        <rFont val="Noto Sans CJK SC"/>
        <family val="2"/>
      </rPr>
      <t>単位輸血して約</t>
    </r>
    <r>
      <rPr>
        <sz val="11"/>
        <rFont val="游ゴシック"/>
        <family val="3"/>
        <charset val="128"/>
      </rPr>
      <t>3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4</t>
    </r>
    <r>
      <rPr>
        <sz val="11"/>
        <rFont val="Noto Sans CJK SC"/>
        <family val="2"/>
      </rPr>
      <t>万</t>
    </r>
    <r>
      <rPr>
        <sz val="11"/>
        <rFont val="游ゴシック"/>
        <family val="3"/>
        <charset val="128"/>
      </rPr>
      <t>/μL</t>
    </r>
    <r>
      <rPr>
        <sz val="11"/>
        <rFont val="Noto Sans CJK SC"/>
        <family val="2"/>
      </rPr>
      <t>上昇</t>
    </r>
  </si>
  <si>
    <t>フィブリノゲン</t>
  </si>
  <si>
    <t>フィブリノゲンの目標値と補充方法は。</t>
  </si>
  <si>
    <t>副作用</t>
  </si>
  <si>
    <t>輸血の急性副作用を挙げよ。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</si>
  <si>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ABO</t>
    </r>
    <r>
      <rPr>
        <sz val="11"/>
        <rFont val="Noto Sans CJK SC"/>
        <family val="2"/>
      </rPr>
      <t>不適合による急性溶血
・アレルギー・アナフィラキシー
・発熱性非溶血反応
・</t>
    </r>
    <r>
      <rPr>
        <sz val="11"/>
        <rFont val="游ゴシック"/>
        <family val="3"/>
        <charset val="128"/>
      </rPr>
      <t>TRALI</t>
    </r>
    <r>
      <rPr>
        <sz val="11"/>
        <rFont val="Noto Sans CJK SC"/>
        <family val="2"/>
      </rPr>
      <t>（輸血関連急性肺障害）
・</t>
    </r>
    <r>
      <rPr>
        <sz val="11"/>
        <rFont val="游ゴシック"/>
        <family val="3"/>
        <charset val="128"/>
      </rPr>
      <t>TACO</t>
    </r>
    <r>
      <rPr>
        <sz val="11"/>
        <rFont val="Noto Sans CJK SC"/>
        <family val="2"/>
      </rPr>
      <t>（輸血関連循環過負荷）
・細菌汚染
・高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血症・低</t>
    </r>
    <r>
      <rPr>
        <sz val="11"/>
        <rFont val="游ゴシック"/>
        <family val="3"/>
        <charset val="128"/>
      </rPr>
      <t>Ca</t>
    </r>
    <r>
      <rPr>
        <sz val="11"/>
        <rFont val="Noto Sans CJK SC"/>
        <family val="2"/>
      </rPr>
      <t>血症</t>
    </r>
  </si>
  <si>
    <r>
      <rPr>
        <sz val="11"/>
        <rFont val="Noto Sans CJK SC"/>
        <family val="2"/>
      </rPr>
      <t>全身麻酔中の</t>
    </r>
    <r>
      <rPr>
        <sz val="11"/>
        <rFont val="游ゴシック"/>
        <family val="3"/>
        <charset val="128"/>
      </rPr>
      <t>ABO</t>
    </r>
    <r>
      <rPr>
        <sz val="11"/>
        <rFont val="Noto Sans CJK SC"/>
        <family val="2"/>
      </rPr>
      <t>不適合輸血に気づく所見は。</t>
    </r>
  </si>
  <si>
    <r>
      <rPr>
        <sz val="11"/>
        <rFont val="Noto Sans CJK SC"/>
        <family val="2"/>
      </rPr>
      <t>・原因不明の低血圧・頻脈
・ヘモグロビン尿（赤褐色尿）
・術野からのびまん性出血（</t>
    </r>
    <r>
      <rPr>
        <sz val="11"/>
        <rFont val="游ゴシック"/>
        <family val="3"/>
        <charset val="128"/>
      </rPr>
      <t>DIC</t>
    </r>
    <r>
      <rPr>
        <sz val="11"/>
        <rFont val="Noto Sans CJK SC"/>
        <family val="2"/>
      </rPr>
      <t>）
・気道内圧上昇・</t>
    </r>
    <r>
      <rPr>
        <sz val="11"/>
        <rFont val="游ゴシック"/>
        <family val="3"/>
        <charset val="128"/>
      </rPr>
      <t>SpO2</t>
    </r>
    <r>
      <rPr>
        <sz val="11"/>
        <rFont val="Noto Sans CJK SC"/>
        <family val="2"/>
      </rPr>
      <t>低下
・発熱
・患者は症状を訴えられない点に注意</t>
    </r>
  </si>
  <si>
    <r>
      <rPr>
        <sz val="11"/>
        <rFont val="游ゴシック"/>
        <family val="3"/>
        <charset val="128"/>
      </rPr>
      <t>TRALI</t>
    </r>
    <r>
      <rPr>
        <sz val="11"/>
        <rFont val="Noto Sans CJK SC"/>
        <family val="2"/>
      </rPr>
      <t>と</t>
    </r>
    <r>
      <rPr>
        <sz val="11"/>
        <rFont val="游ゴシック"/>
        <family val="3"/>
        <charset val="128"/>
      </rPr>
      <t>TACO</t>
    </r>
    <r>
      <rPr>
        <sz val="11"/>
        <rFont val="Noto Sans CJK SC"/>
        <family val="2"/>
      </rPr>
      <t>の違いは。</t>
    </r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</si>
  <si>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TRALI</t>
    </r>
    <r>
      <rPr>
        <sz val="11"/>
        <rFont val="Noto Sans CJK SC"/>
        <family val="2"/>
      </rPr>
      <t>：輸血後</t>
    </r>
    <r>
      <rPr>
        <sz val="11"/>
        <rFont val="游ゴシック"/>
        <family val="3"/>
        <charset val="128"/>
      </rPr>
      <t>6</t>
    </r>
    <r>
      <rPr>
        <sz val="11"/>
        <rFont val="Noto Sans CJK SC"/>
        <family val="2"/>
      </rPr>
      <t>時間以内の非心原性肺水腫、</t>
    </r>
    <r>
      <rPr>
        <sz val="11"/>
        <rFont val="游ゴシック"/>
        <family val="3"/>
        <charset val="128"/>
      </rPr>
      <t>CVP</t>
    </r>
    <r>
      <rPr>
        <sz val="11"/>
        <rFont val="Noto Sans CJK SC"/>
        <family val="2"/>
      </rPr>
      <t>は正常、利尿薬は無効
・</t>
    </r>
    <r>
      <rPr>
        <sz val="11"/>
        <rFont val="游ゴシック"/>
        <family val="3"/>
        <charset val="128"/>
      </rPr>
      <t>TACO</t>
    </r>
    <r>
      <rPr>
        <sz val="11"/>
        <rFont val="Noto Sans CJK SC"/>
        <family val="2"/>
      </rPr>
      <t>：循環過負荷による心原性肺水腫、高血圧・</t>
    </r>
    <r>
      <rPr>
        <sz val="11"/>
        <rFont val="游ゴシック"/>
        <family val="3"/>
        <charset val="128"/>
      </rPr>
      <t>CVP</t>
    </r>
    <r>
      <rPr>
        <sz val="11"/>
        <rFont val="Noto Sans CJK SC"/>
        <family val="2"/>
      </rPr>
      <t>上昇、利尿薬が有効
・どちらも呼吸困難・低酸素・両側浸潤影</t>
    </r>
  </si>
  <si>
    <r>
      <rPr>
        <sz val="11"/>
        <rFont val="Noto Sans CJK SC"/>
        <family val="2"/>
      </rPr>
      <t>低</t>
    </r>
    <r>
      <rPr>
        <sz val="11"/>
        <rFont val="游ゴシック"/>
        <family val="3"/>
        <charset val="128"/>
      </rPr>
      <t>Ca</t>
    </r>
  </si>
  <si>
    <r>
      <rPr>
        <sz val="11"/>
        <rFont val="Noto Sans CJK SC"/>
        <family val="2"/>
      </rPr>
      <t>クエン酸中毒（低</t>
    </r>
    <r>
      <rPr>
        <sz val="11"/>
        <rFont val="游ゴシック"/>
        <family val="3"/>
        <charset val="128"/>
      </rPr>
      <t>Ca</t>
    </r>
    <r>
      <rPr>
        <sz val="11"/>
        <rFont val="Noto Sans CJK SC"/>
        <family val="2"/>
      </rPr>
      <t>血症）の所見と対応は。</t>
    </r>
  </si>
  <si>
    <r>
      <rPr>
        <sz val="11"/>
        <rFont val="Noto Sans CJK SC"/>
        <family val="2"/>
      </rPr>
      <t>・血圧低下・心収縮力低下
・</t>
    </r>
    <r>
      <rPr>
        <sz val="11"/>
        <rFont val="游ゴシック"/>
        <family val="3"/>
        <charset val="128"/>
      </rPr>
      <t>QT</t>
    </r>
    <r>
      <rPr>
        <sz val="11"/>
        <rFont val="Noto Sans CJK SC"/>
        <family val="2"/>
      </rPr>
      <t>延長
・イオン化カルシウムの低下
・グルコン酸カルシウムまたは塩化カルシウムの投与
・急速大量輸血・肝機能低下で起こりやすい</t>
    </r>
  </si>
  <si>
    <t>凝固モニタ</t>
  </si>
  <si>
    <t>術中の凝固能の評価方法は。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</si>
  <si>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PT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 xml:space="preserve">APTT
</t>
    </r>
    <r>
      <rPr>
        <sz val="11"/>
        <rFont val="Noto Sans CJK SC"/>
        <family val="2"/>
      </rPr>
      <t>・フィブリノゲン
・血小板数
・</t>
    </r>
    <r>
      <rPr>
        <sz val="11"/>
        <rFont val="游ゴシック"/>
        <family val="3"/>
        <charset val="128"/>
      </rPr>
      <t>ACT</t>
    </r>
    <r>
      <rPr>
        <sz val="11"/>
        <rFont val="Noto Sans CJK SC"/>
        <family val="2"/>
      </rPr>
      <t>（ヘパリン使用時）
・粘弾性検査（</t>
    </r>
    <r>
      <rPr>
        <sz val="11"/>
        <rFont val="游ゴシック"/>
        <family val="3"/>
        <charset val="128"/>
      </rPr>
      <t>ROTEM/TEG</t>
    </r>
    <r>
      <rPr>
        <sz val="11"/>
        <rFont val="Noto Sans CJK SC"/>
        <family val="2"/>
      </rPr>
      <t>）
・</t>
    </r>
    <r>
      <rPr>
        <sz val="11"/>
        <rFont val="游ゴシック"/>
        <family val="3"/>
        <charset val="128"/>
      </rPr>
      <t>D</t>
    </r>
    <r>
      <rPr>
        <sz val="11"/>
        <rFont val="Noto Sans CJK SC"/>
        <family val="2"/>
      </rPr>
      <t>ダイマー・</t>
    </r>
    <r>
      <rPr>
        <sz val="11"/>
        <rFont val="游ゴシック"/>
        <family val="3"/>
        <charset val="128"/>
      </rPr>
      <t xml:space="preserve">FDP
</t>
    </r>
    <r>
      <rPr>
        <sz val="11"/>
        <rFont val="Noto Sans CJK SC"/>
        <family val="2"/>
      </rPr>
      <t>・臨床所見（術野のにじみ出る出血）</t>
    </r>
  </si>
  <si>
    <t>自己血</t>
  </si>
  <si>
    <t>緊急</t>
  </si>
  <si>
    <t>血液型が不明な緊急出血への輸血は。</t>
  </si>
  <si>
    <t>術後鎮痛</t>
  </si>
  <si>
    <t>考え方</t>
  </si>
  <si>
    <r>
      <rPr>
        <sz val="11"/>
        <rFont val="游ゴシック"/>
        <family val="3"/>
        <charset val="128"/>
      </rPr>
      <t>multimodal analgesia</t>
    </r>
    <r>
      <rPr>
        <sz val="11"/>
        <rFont val="Noto Sans CJK SC"/>
        <family val="2"/>
      </rPr>
      <t>（多角的鎮痛）の考え方は。</t>
    </r>
  </si>
  <si>
    <r>
      <rPr>
        <sz val="11"/>
        <rFont val="Noto Sans CJK SC"/>
        <family val="2"/>
      </rPr>
      <t>・作用機序の異なる鎮痛法を併用
・アセトアミノフェン＋</t>
    </r>
    <r>
      <rPr>
        <sz val="11"/>
        <rFont val="游ゴシック"/>
        <family val="3"/>
        <charset val="128"/>
      </rPr>
      <t>NSAIDs</t>
    </r>
    <r>
      <rPr>
        <sz val="11"/>
        <rFont val="Noto Sans CJK SC"/>
        <family val="2"/>
      </rPr>
      <t>＋区域麻酔＋オピオイド
・オピオイドの減量で副作用を減らす
・早期離床・</t>
    </r>
    <r>
      <rPr>
        <sz val="11"/>
        <rFont val="游ゴシック"/>
        <family val="3"/>
        <charset val="128"/>
      </rPr>
      <t>ERAS</t>
    </r>
    <r>
      <rPr>
        <sz val="11"/>
        <rFont val="Noto Sans CJK SC"/>
        <family val="2"/>
      </rPr>
      <t>につながる</t>
    </r>
  </si>
  <si>
    <t>IV-PCA</t>
  </si>
  <si>
    <r>
      <rPr>
        <sz val="11"/>
        <rFont val="Noto Sans CJK SC"/>
        <family val="2"/>
      </rPr>
      <t>フェンタニル</t>
    </r>
    <r>
      <rPr>
        <sz val="11"/>
        <rFont val="游ゴシック"/>
        <family val="3"/>
        <charset val="128"/>
      </rPr>
      <t>IV-PCA</t>
    </r>
    <r>
      <rPr>
        <sz val="11"/>
        <rFont val="Noto Sans CJK SC"/>
        <family val="2"/>
      </rPr>
      <t>の一般的な設定は。</t>
    </r>
  </si>
  <si>
    <r>
      <rPr>
        <sz val="11"/>
        <rFont val="游ゴシック"/>
        <family val="3"/>
        <charset val="128"/>
      </rPr>
      <t>IV-PCA</t>
    </r>
    <r>
      <rPr>
        <sz val="11"/>
        <rFont val="Noto Sans CJK SC"/>
        <family val="2"/>
      </rPr>
      <t>の注意点・合併症は。</t>
    </r>
  </si>
  <si>
    <t>硬膜外</t>
  </si>
  <si>
    <t>硬膜外鎮痛の利点と適応は。</t>
  </si>
  <si>
    <t>硬膜外血腫を疑う症状と対応は。</t>
  </si>
  <si>
    <r>
      <rPr>
        <sz val="11"/>
        <rFont val="Noto Sans CJK SC"/>
        <family val="2"/>
      </rPr>
      <t>・下肢の脱力・しびれの遷延
・背部痛
・膀胱直腸障害
・予想以上に強い運動遮断
・緊急</t>
    </r>
    <r>
      <rPr>
        <sz val="11"/>
        <rFont val="游ゴシック"/>
        <family val="3"/>
        <charset val="128"/>
      </rPr>
      <t xml:space="preserve">MRI
</t>
    </r>
    <r>
      <rPr>
        <sz val="11"/>
        <rFont val="Noto Sans CJK SC"/>
        <family val="2"/>
      </rPr>
      <t>・早期（発症</t>
    </r>
    <r>
      <rPr>
        <sz val="11"/>
        <rFont val="游ゴシック"/>
        <family val="3"/>
        <charset val="128"/>
      </rPr>
      <t>8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12</t>
    </r>
    <r>
      <rPr>
        <sz val="11"/>
        <rFont val="Noto Sans CJK SC"/>
        <family val="2"/>
      </rPr>
      <t>時間以内）の除圧手術
・抗凝固薬との時間間隔を厳守</t>
    </r>
  </si>
  <si>
    <r>
      <rPr>
        <sz val="11"/>
        <rFont val="Noto Sans CJK SC"/>
        <family val="2"/>
      </rPr>
      <t>硬膜穿刺後頭痛（</t>
    </r>
    <r>
      <rPr>
        <sz val="11"/>
        <rFont val="游ゴシック"/>
        <family val="3"/>
        <charset val="128"/>
      </rPr>
      <t>PDPH</t>
    </r>
    <r>
      <rPr>
        <sz val="11"/>
        <rFont val="Noto Sans CJK SC"/>
        <family val="2"/>
      </rPr>
      <t>）の特徴と対応は。</t>
    </r>
  </si>
  <si>
    <t>・起立で増悪し臥位で軽快する頭痛
・若年・女性・太い針で多い
・安静・補液・カフェイン・鎮痛薬
・改善しなければ硬膜外自家血パッチ</t>
  </si>
  <si>
    <t>評価</t>
  </si>
  <si>
    <t>術後痛の評価方法は。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</si>
  <si>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NRS</t>
    </r>
    <r>
      <rPr>
        <sz val="11"/>
        <rFont val="Noto Sans CJK SC"/>
        <family val="2"/>
      </rPr>
      <t>（</t>
    </r>
    <r>
      <rPr>
        <sz val="11"/>
        <rFont val="游ゴシック"/>
        <family val="3"/>
        <charset val="128"/>
      </rPr>
      <t>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10</t>
    </r>
    <r>
      <rPr>
        <sz val="11"/>
        <rFont val="Noto Sans CJK SC"/>
        <family val="2"/>
      </rPr>
      <t>）
・</t>
    </r>
    <r>
      <rPr>
        <sz val="11"/>
        <rFont val="游ゴシック"/>
        <family val="3"/>
        <charset val="128"/>
      </rPr>
      <t xml:space="preserve">VAS
</t>
    </r>
    <r>
      <rPr>
        <sz val="11"/>
        <rFont val="Noto Sans CJK SC"/>
        <family val="2"/>
      </rPr>
      <t>・フェイススケール（小児・高齢者）
・安静時痛と体動時痛を分けて評価
・目標は</t>
    </r>
    <r>
      <rPr>
        <sz val="11"/>
        <rFont val="游ゴシック"/>
        <family val="3"/>
        <charset val="128"/>
      </rPr>
      <t>NRS 3</t>
    </r>
    <r>
      <rPr>
        <sz val="11"/>
        <rFont val="Noto Sans CJK SC"/>
        <family val="2"/>
      </rPr>
      <t>以下・体動できること</t>
    </r>
  </si>
  <si>
    <t>術後鎮痛が不十分なときの弊害は。</t>
  </si>
  <si>
    <t>・深呼吸・咳嗽ができず無気肺・肺炎
・離床の遅れ・血栓症
・頻脈・高血圧・心筋虚血
・せん妄
・慢性術後痛への移行</t>
  </si>
  <si>
    <t>呼吸抑制</t>
  </si>
  <si>
    <t>術後の呼吸抑制のリスク因子は。</t>
  </si>
  <si>
    <t>・オピオイドの過量・持続投与
・睡眠時無呼吸・肥満
・高齢
・腎機能障害（モルヒネ代謝物の蓄積）
・鎮静薬の併用
・筋弛緩薬の残存</t>
  </si>
  <si>
    <t>特殊例</t>
  </si>
  <si>
    <t>慢性的にオピオイドを内服している患者の術後鎮痛は。</t>
  </si>
  <si>
    <t>シバリング</t>
  </si>
  <si>
    <t>術後シバリングの原因と対応は。</t>
  </si>
  <si>
    <t>・低体温
・加温（温風加温）
・酸素投与
・ペチジン
・デクスメデトミジン
・酸素消費量・心負荷が増える</t>
  </si>
  <si>
    <t>せん妄</t>
  </si>
  <si>
    <t>術後せん妄の予防策は。</t>
  </si>
  <si>
    <t>・ベンゾジアゼピン・抗コリン薬を避ける
・十分な鎮痛（痛みもせん妄の原因）
・早期離床・睡眠覚醒リズム
・眼鏡・補聴器の使用、家族の面会
・脱水・低酸素・電解質異常・感染の是正</t>
  </si>
  <si>
    <t>モニタ・機器</t>
  </si>
  <si>
    <t>SpO2</t>
  </si>
  <si>
    <r>
      <rPr>
        <sz val="11"/>
        <rFont val="游ゴシック"/>
        <family val="3"/>
        <charset val="128"/>
      </rPr>
      <t>SpO2</t>
    </r>
    <r>
      <rPr>
        <sz val="11"/>
        <rFont val="Noto Sans CJK SC"/>
        <family val="2"/>
      </rPr>
      <t>の値が信頼できなくなる状況は。</t>
    </r>
  </si>
  <si>
    <t>動脈圧</t>
  </si>
  <si>
    <t>観血的動脈圧ラインの適応は。</t>
  </si>
  <si>
    <t>・大量出血が予想される手術
・循環が不安定・昇圧薬使用
・心血管疾患・重症併存症
・頻回の血液ガス採血
・特殊な体位・開胸・心臓手術</t>
  </si>
  <si>
    <t>動脈圧波形がなまる（ダンピング）原因は。</t>
  </si>
  <si>
    <t>・回路内の気泡
・血栓・カテーテル先端の壁当たり
・カテーテルの屈曲
・延長チューブが長い・柔らかい
・加圧バッグの圧不足
・ゼロ点・トランスデューサの高さ</t>
  </si>
  <si>
    <t>中心静脈</t>
  </si>
  <si>
    <t>中心静脈カテーテル挿入の合併症は。</t>
  </si>
  <si>
    <t>電気メス</t>
  </si>
  <si>
    <t>麻酔器</t>
  </si>
  <si>
    <t>ソーダライムの消耗を示す所見は。</t>
  </si>
  <si>
    <r>
      <rPr>
        <sz val="11"/>
        <rFont val="Noto Sans CJK SC"/>
        <family val="2"/>
      </rPr>
      <t>・色調の変化
・吸気側</t>
    </r>
    <r>
      <rPr>
        <sz val="11"/>
        <rFont val="游ゴシック"/>
        <family val="3"/>
        <charset val="128"/>
      </rPr>
      <t>CO2</t>
    </r>
    <r>
      <rPr>
        <sz val="11"/>
        <rFont val="Noto Sans CJK SC"/>
        <family val="2"/>
      </rPr>
      <t>の上昇（カプノグラムのベースライン上昇）
・容器の発熱
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の異常上昇</t>
    </r>
  </si>
  <si>
    <t>術中に酸素供給が途絶したときの対応は。</t>
  </si>
  <si>
    <r>
      <rPr>
        <sz val="11"/>
        <rFont val="Noto Sans CJK SC"/>
        <family val="2"/>
      </rPr>
      <t>・酸素ボンベに切り替える
・麻酔器から離脱し、バッグバルブマスクで換気
・静脈麻酔（</t>
    </r>
    <r>
      <rPr>
        <sz val="11"/>
        <rFont val="游ゴシック"/>
        <family val="3"/>
        <charset val="128"/>
      </rPr>
      <t>TIVA</t>
    </r>
    <r>
      <rPr>
        <sz val="11"/>
        <rFont val="Noto Sans CJK SC"/>
        <family val="2"/>
      </rPr>
      <t>）へ移行
・応援・臨床工学技士へ連絡
・</t>
    </r>
    <r>
      <rPr>
        <sz val="11"/>
        <rFont val="游ゴシック"/>
        <family val="3"/>
        <charset val="128"/>
      </rPr>
      <t>SpO2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で換気を確認
・手術の中断を検討</t>
    </r>
  </si>
  <si>
    <t>体温モニタの測定部位と特徴は。</t>
  </si>
  <si>
    <t>・食道・肺動脈：中枢温をよく反映
・膀胱・直腸：やや遅れる
・鼓膜
・腋窩・皮膚：末梢温、中枢温より低い
・中枢温と末梢温の差は末梢循環の指標</t>
  </si>
  <si>
    <t>輸液反応性</t>
  </si>
  <si>
    <r>
      <rPr>
        <sz val="11"/>
        <rFont val="游ゴシック"/>
        <family val="3"/>
        <charset val="128"/>
      </rPr>
      <t>SVV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PPV</t>
    </r>
    <r>
      <rPr>
        <sz val="11"/>
        <rFont val="Noto Sans CJK SC"/>
        <family val="2"/>
      </rPr>
      <t>で輸液反応性を評価できる条件は。</t>
    </r>
  </si>
  <si>
    <r>
      <rPr>
        <sz val="11"/>
        <rFont val="Noto Sans CJK SC"/>
        <family val="2"/>
      </rPr>
      <t xml:space="preserve">・調節換気（自発呼吸がない）
・一回換気量 </t>
    </r>
    <r>
      <rPr>
        <sz val="11"/>
        <rFont val="游ゴシック"/>
        <family val="3"/>
        <charset val="128"/>
      </rPr>
      <t>8mL/kg</t>
    </r>
    <r>
      <rPr>
        <sz val="11"/>
        <rFont val="Noto Sans CJK SC"/>
        <family val="2"/>
      </rPr>
      <t>程度以上
・洞調律
・開胸・気腹・腹臥位では不正確
・右心不全では使えない</t>
    </r>
  </si>
  <si>
    <t>筋弛緩モニタ</t>
  </si>
  <si>
    <t>筋弛緩モニタの装着部位と注意点は。</t>
  </si>
  <si>
    <r>
      <rPr>
        <sz val="11"/>
        <rFont val="Noto Sans CJK SC"/>
        <family val="2"/>
      </rPr>
      <t>・尺骨神経刺激・母指内転筋が標準
・キャリブレーションを行う
・眼輪筋・皺眉筋は横隔膜に近く、回復を過大評価する
・体位・体温・電極の位置で変わる
・抜管前は</t>
    </r>
    <r>
      <rPr>
        <sz val="11"/>
        <rFont val="游ゴシック"/>
        <family val="3"/>
        <charset val="128"/>
      </rPr>
      <t>TOF</t>
    </r>
    <r>
      <rPr>
        <sz val="11"/>
        <rFont val="Noto Sans CJK SC"/>
        <family val="2"/>
      </rPr>
      <t>比</t>
    </r>
    <r>
      <rPr>
        <sz val="11"/>
        <rFont val="游ゴシック"/>
        <family val="3"/>
        <charset val="128"/>
      </rPr>
      <t>0.9</t>
    </r>
    <r>
      <rPr>
        <sz val="11"/>
        <rFont val="Noto Sans CJK SC"/>
        <family val="2"/>
      </rPr>
      <t>以上を確認</t>
    </r>
  </si>
  <si>
    <t>血液ガス</t>
  </si>
  <si>
    <t>術中の血液ガスで確認する項目は。</t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</si>
  <si>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 xml:space="preserve">pH
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PaCO2</t>
    </r>
    <r>
      <rPr>
        <sz val="11"/>
        <rFont val="Noto Sans CJK SC"/>
        <family val="2"/>
      </rPr>
      <t>（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との較差）
・</t>
    </r>
    <r>
      <rPr>
        <sz val="11"/>
        <rFont val="游ゴシック"/>
        <family val="3"/>
        <charset val="128"/>
      </rPr>
      <t>PaO2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P/F</t>
    </r>
    <r>
      <rPr>
        <sz val="11"/>
        <rFont val="Noto Sans CJK SC"/>
        <family val="2"/>
      </rPr>
      <t>比
・</t>
    </r>
    <r>
      <rPr>
        <sz val="11"/>
        <rFont val="游ゴシック"/>
        <family val="3"/>
        <charset val="128"/>
      </rPr>
      <t>HCO3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 xml:space="preserve">BE
</t>
    </r>
    <r>
      <rPr>
        <sz val="11"/>
        <rFont val="Noto Sans CJK SC"/>
        <family val="2"/>
      </rPr>
      <t>・乳酸
・</t>
    </r>
    <r>
      <rPr>
        <sz val="11"/>
        <rFont val="游ゴシック"/>
        <family val="3"/>
        <charset val="128"/>
      </rPr>
      <t xml:space="preserve">Hb
</t>
    </r>
    <r>
      <rPr>
        <sz val="11"/>
        <rFont val="Noto Sans CJK SC"/>
        <family val="2"/>
      </rPr>
      <t>・電解質（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、</t>
    </r>
    <r>
      <rPr>
        <sz val="11"/>
        <rFont val="游ゴシック"/>
        <family val="3"/>
        <charset val="128"/>
      </rPr>
      <t>Na</t>
    </r>
    <r>
      <rPr>
        <sz val="11"/>
        <rFont val="Noto Sans CJK SC"/>
        <family val="2"/>
      </rPr>
      <t>、イオン化</t>
    </r>
    <r>
      <rPr>
        <sz val="11"/>
        <rFont val="游ゴシック"/>
        <family val="3"/>
        <charset val="128"/>
      </rPr>
      <t>Ca</t>
    </r>
    <r>
      <rPr>
        <sz val="11"/>
        <rFont val="Noto Sans CJK SC"/>
        <family val="2"/>
      </rPr>
      <t>）
・血糖</t>
    </r>
  </si>
  <si>
    <r>
      <rPr>
        <sz val="11"/>
        <rFont val="游ゴシック"/>
        <family val="3"/>
        <charset val="128"/>
      </rPr>
      <t>SpO2</t>
    </r>
    <r>
      <rPr>
        <sz val="11"/>
        <rFont val="Noto Sans CJK SC"/>
        <family val="2"/>
      </rPr>
      <t>と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の役割の違いは。</t>
    </r>
  </si>
  <si>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SpO2</t>
    </r>
    <r>
      <rPr>
        <sz val="11"/>
        <rFont val="Noto Sans CJK SC"/>
        <family val="2"/>
      </rPr>
      <t>：酸素化の指標、異常の検出が遅れる
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：換気と循環（心拍出量）の指標、異常を最も早く捉える
・気管挿管の確認は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波形が必須
・回路外れ・心停止は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で早期に気づく</t>
    </r>
  </si>
  <si>
    <t>加温装置</t>
  </si>
  <si>
    <t>小児麻酔</t>
  </si>
  <si>
    <t>術前</t>
  </si>
  <si>
    <t>小児の術前絶飲食時間の目安は。</t>
  </si>
  <si>
    <r>
      <rPr>
        <sz val="11"/>
        <rFont val="Noto Sans CJK SC"/>
        <family val="2"/>
      </rPr>
      <t xml:space="preserve">・清澄水 </t>
    </r>
    <r>
      <rPr>
        <sz val="11"/>
        <rFont val="游ゴシック"/>
        <family val="3"/>
        <charset val="128"/>
      </rPr>
      <t>2</t>
    </r>
    <r>
      <rPr>
        <sz val="11"/>
        <rFont val="Noto Sans CJK SC"/>
        <family val="2"/>
      </rPr>
      <t xml:space="preserve">時間
・母乳 </t>
    </r>
    <r>
      <rPr>
        <sz val="11"/>
        <rFont val="游ゴシック"/>
        <family val="3"/>
        <charset val="128"/>
      </rPr>
      <t>4</t>
    </r>
    <r>
      <rPr>
        <sz val="11"/>
        <rFont val="Noto Sans CJK SC"/>
        <family val="2"/>
      </rPr>
      <t xml:space="preserve">時間
・人工乳・軽食 </t>
    </r>
    <r>
      <rPr>
        <sz val="11"/>
        <rFont val="游ゴシック"/>
        <family val="3"/>
        <charset val="128"/>
      </rPr>
      <t>6</t>
    </r>
    <r>
      <rPr>
        <sz val="11"/>
        <rFont val="Noto Sans CJK SC"/>
        <family val="2"/>
      </rPr>
      <t xml:space="preserve">時間
・脂肪分の多い食事 </t>
    </r>
    <r>
      <rPr>
        <sz val="11"/>
        <rFont val="游ゴシック"/>
        <family val="3"/>
        <charset val="128"/>
      </rPr>
      <t>8</t>
    </r>
    <r>
      <rPr>
        <sz val="11"/>
        <rFont val="Noto Sans CJK SC"/>
        <family val="2"/>
      </rPr>
      <t>時間
・長すぎる絶飲食は低血糖・不機嫌・脱水</t>
    </r>
  </si>
  <si>
    <t>小児の気道の解剖学的特徴は。</t>
  </si>
  <si>
    <r>
      <rPr>
        <sz val="11"/>
        <rFont val="Noto Sans CJK SC"/>
        <family val="2"/>
      </rPr>
      <t>・頭部・舌が大きい
・喉頭が高位で前方にある
・喉頭蓋が大きく</t>
    </r>
    <r>
      <rPr>
        <sz val="11"/>
        <rFont val="游ゴシック"/>
        <family val="3"/>
        <charset val="128"/>
      </rPr>
      <t>U</t>
    </r>
    <r>
      <rPr>
        <sz val="11"/>
        <rFont val="Noto Sans CJK SC"/>
        <family val="2"/>
      </rPr>
      <t>字型
・乳児では輪状軟骨部が最狭部
・気管が短く片肺挿管しやすい
・鼻呼吸が主体
・気道が細く浮腫の影響が大きい</t>
    </r>
  </si>
  <si>
    <t>小児の気管チューブのサイズと深さの目安は。</t>
  </si>
  <si>
    <t>喉頭痙攣の対応は。</t>
  </si>
  <si>
    <r>
      <rPr>
        <sz val="11"/>
        <rFont val="Noto Sans CJK SC"/>
        <family val="2"/>
      </rPr>
      <t>小児の維持輸液量（</t>
    </r>
    <r>
      <rPr>
        <sz val="11"/>
        <rFont val="游ゴシック"/>
        <family val="3"/>
        <charset val="128"/>
      </rPr>
      <t>4-2-1</t>
    </r>
    <r>
      <rPr>
        <sz val="11"/>
        <rFont val="Noto Sans CJK SC"/>
        <family val="2"/>
      </rPr>
      <t>ルール）は。</t>
    </r>
  </si>
  <si>
    <r>
      <rPr>
        <sz val="11"/>
        <rFont val="Noto Sans CJK SC"/>
        <family val="2"/>
      </rPr>
      <t>・最初の</t>
    </r>
    <r>
      <rPr>
        <sz val="11"/>
        <rFont val="游ゴシック"/>
        <family val="3"/>
        <charset val="128"/>
      </rPr>
      <t>10kg</t>
    </r>
    <r>
      <rPr>
        <sz val="11"/>
        <rFont val="Noto Sans CJK SC"/>
        <family val="2"/>
      </rPr>
      <t>：</t>
    </r>
    <r>
      <rPr>
        <sz val="11"/>
        <rFont val="游ゴシック"/>
        <family val="3"/>
        <charset val="128"/>
      </rPr>
      <t xml:space="preserve">4mL/kg/h
</t>
    </r>
    <r>
      <rPr>
        <sz val="11"/>
        <rFont val="Noto Sans CJK SC"/>
        <family val="2"/>
      </rPr>
      <t>・次の</t>
    </r>
    <r>
      <rPr>
        <sz val="11"/>
        <rFont val="游ゴシック"/>
        <family val="3"/>
        <charset val="128"/>
      </rPr>
      <t>10kg</t>
    </r>
    <r>
      <rPr>
        <sz val="11"/>
        <rFont val="Noto Sans CJK SC"/>
        <family val="2"/>
      </rPr>
      <t>：</t>
    </r>
    <r>
      <rPr>
        <sz val="11"/>
        <rFont val="游ゴシック"/>
        <family val="3"/>
        <charset val="128"/>
      </rPr>
      <t xml:space="preserve">2mL/kg/h
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20kg</t>
    </r>
    <r>
      <rPr>
        <sz val="11"/>
        <rFont val="Noto Sans CJK SC"/>
        <family val="2"/>
      </rPr>
      <t>を超える分：</t>
    </r>
    <r>
      <rPr>
        <sz val="11"/>
        <rFont val="游ゴシック"/>
        <family val="3"/>
        <charset val="128"/>
      </rPr>
      <t xml:space="preserve">1mL/kg/h
</t>
    </r>
    <r>
      <rPr>
        <sz val="11"/>
        <rFont val="Noto Sans CJK SC"/>
        <family val="2"/>
      </rPr>
      <t>・例）</t>
    </r>
    <r>
      <rPr>
        <sz val="11"/>
        <rFont val="游ゴシック"/>
        <family val="3"/>
        <charset val="128"/>
      </rPr>
      <t>25kg</t>
    </r>
    <r>
      <rPr>
        <sz val="11"/>
        <rFont val="Noto Sans CJK SC"/>
        <family val="2"/>
      </rPr>
      <t>なら</t>
    </r>
    <r>
      <rPr>
        <sz val="11"/>
        <rFont val="游ゴシック"/>
        <family val="3"/>
        <charset val="128"/>
      </rPr>
      <t xml:space="preserve">65mL/h
</t>
    </r>
    <r>
      <rPr>
        <sz val="11"/>
        <rFont val="Noto Sans CJK SC"/>
        <family val="2"/>
      </rPr>
      <t>・低血糖に注意（乳児はブドウ糖含有液）</t>
    </r>
  </si>
  <si>
    <t>小児の循環の特徴は。</t>
  </si>
  <si>
    <r>
      <rPr>
        <sz val="11"/>
        <rFont val="Noto Sans CJK SC"/>
        <family val="2"/>
      </rPr>
      <t>・心拍出量が心拍数に依存する
・徐脈はまず低酸素を疑う
・血圧低下は代償の破綻後に遅れて現れる
・循環血液量：新生児</t>
    </r>
    <r>
      <rPr>
        <sz val="11"/>
        <rFont val="游ゴシック"/>
        <family val="3"/>
        <charset val="128"/>
      </rPr>
      <t>80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90mL/kg</t>
    </r>
    <r>
      <rPr>
        <sz val="11"/>
        <rFont val="Noto Sans CJK SC"/>
        <family val="2"/>
      </rPr>
      <t>、乳児</t>
    </r>
    <r>
      <rPr>
        <sz val="11"/>
        <rFont val="游ゴシック"/>
        <family val="3"/>
        <charset val="128"/>
      </rPr>
      <t>75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80mL/kg
</t>
    </r>
    <r>
      <rPr>
        <sz val="11"/>
        <rFont val="Noto Sans CJK SC"/>
        <family val="2"/>
      </rPr>
      <t>・出血の許容量が少ない</t>
    </r>
  </si>
  <si>
    <t>急変</t>
  </si>
  <si>
    <t>小児の術中徐脈・低酸素への対応は。</t>
  </si>
  <si>
    <r>
      <rPr>
        <sz val="11"/>
        <rFont val="Noto Sans CJK SC"/>
        <family val="2"/>
      </rPr>
      <t>・まず換気と酸素化を確認（気道が原因のことが多い）
・</t>
    </r>
    <r>
      <rPr>
        <sz val="11"/>
        <rFont val="游ゴシック"/>
        <family val="3"/>
        <charset val="128"/>
      </rPr>
      <t>100%</t>
    </r>
    <r>
      <rPr>
        <sz val="11"/>
        <rFont val="Noto Sans CJK SC"/>
        <family val="2"/>
      </rPr>
      <t xml:space="preserve">酸素で用手換気
・アトロピン </t>
    </r>
    <r>
      <rPr>
        <sz val="11"/>
        <rFont val="游ゴシック"/>
        <family val="3"/>
        <charset val="128"/>
      </rPr>
      <t xml:space="preserve">0.02mg/kg
</t>
    </r>
    <r>
      <rPr>
        <sz val="11"/>
        <rFont val="Noto Sans CJK SC"/>
        <family val="2"/>
      </rPr>
      <t>・心拍</t>
    </r>
    <r>
      <rPr>
        <sz val="11"/>
        <rFont val="游ゴシック"/>
        <family val="3"/>
        <charset val="128"/>
      </rPr>
      <t>60/</t>
    </r>
    <r>
      <rPr>
        <sz val="11"/>
        <rFont val="Noto Sans CJK SC"/>
        <family val="2"/>
      </rPr>
      <t xml:space="preserve">分未満で反応不良なら胸骨圧迫
・アドレナリン </t>
    </r>
    <r>
      <rPr>
        <sz val="11"/>
        <rFont val="游ゴシック"/>
        <family val="3"/>
        <charset val="128"/>
      </rPr>
      <t xml:space="preserve">10μg/kg
</t>
    </r>
    <r>
      <rPr>
        <sz val="11"/>
        <rFont val="Noto Sans CJK SC"/>
        <family val="2"/>
      </rPr>
      <t>・原因検索（挿管位置、気胸、迷走反射）</t>
    </r>
  </si>
  <si>
    <t>薬用量</t>
  </si>
  <si>
    <t>小児でよく使う薬の体重あたりの用量は。</t>
  </si>
  <si>
    <r>
      <rPr>
        <sz val="11"/>
        <rFont val="Noto Sans CJK SC"/>
        <family val="2"/>
      </rPr>
      <t xml:space="preserve">・プロポフォール </t>
    </r>
    <r>
      <rPr>
        <sz val="11"/>
        <rFont val="游ゴシック"/>
        <family val="3"/>
        <charset val="128"/>
      </rPr>
      <t>2.5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3mg/kg
</t>
    </r>
    <r>
      <rPr>
        <sz val="11"/>
        <rFont val="Noto Sans CJK SC"/>
        <family val="2"/>
      </rPr>
      <t xml:space="preserve">・ロクロニウム </t>
    </r>
    <r>
      <rPr>
        <sz val="11"/>
        <rFont val="游ゴシック"/>
        <family val="3"/>
        <charset val="128"/>
      </rPr>
      <t xml:space="preserve">0.6mg/kg
</t>
    </r>
    <r>
      <rPr>
        <sz val="11"/>
        <rFont val="Noto Sans CJK SC"/>
        <family val="2"/>
      </rPr>
      <t xml:space="preserve">・フェンタニル 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2μg/kg
</t>
    </r>
    <r>
      <rPr>
        <sz val="11"/>
        <rFont val="Noto Sans CJK SC"/>
        <family val="2"/>
      </rPr>
      <t xml:space="preserve">・アトロピン </t>
    </r>
    <r>
      <rPr>
        <sz val="11"/>
        <rFont val="游ゴシック"/>
        <family val="3"/>
        <charset val="128"/>
      </rPr>
      <t>0.02mg/kg</t>
    </r>
    <r>
      <rPr>
        <sz val="11"/>
        <rFont val="Noto Sans CJK SC"/>
        <family val="2"/>
      </rPr>
      <t>（最小</t>
    </r>
    <r>
      <rPr>
        <sz val="11"/>
        <rFont val="游ゴシック"/>
        <family val="3"/>
        <charset val="128"/>
      </rPr>
      <t>0.1mg</t>
    </r>
    <r>
      <rPr>
        <sz val="11"/>
        <rFont val="Noto Sans CJK SC"/>
        <family val="2"/>
      </rPr>
      <t xml:space="preserve">）
・アセトアミノフェン </t>
    </r>
    <r>
      <rPr>
        <sz val="11"/>
        <rFont val="游ゴシック"/>
        <family val="3"/>
        <charset val="128"/>
      </rPr>
      <t>10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15mg/kg
</t>
    </r>
    <r>
      <rPr>
        <sz val="11"/>
        <rFont val="Noto Sans CJK SC"/>
        <family val="2"/>
      </rPr>
      <t>・成人より体重あたりの必要量が多い</t>
    </r>
  </si>
  <si>
    <r>
      <rPr>
        <sz val="11"/>
        <rFont val="Noto Sans CJK SC"/>
        <family val="2"/>
      </rPr>
      <t>覚醒時興奮（</t>
    </r>
    <r>
      <rPr>
        <sz val="11"/>
        <rFont val="游ゴシック"/>
        <family val="3"/>
        <charset val="128"/>
      </rPr>
      <t>emergence delirium</t>
    </r>
    <r>
      <rPr>
        <sz val="11"/>
        <rFont val="Noto Sans CJK SC"/>
        <family val="2"/>
      </rPr>
      <t>）の予防は。</t>
    </r>
  </si>
  <si>
    <t>・十分な鎮痛（痛みとの鑑別）
・セボフルラン単独を避けプロポフォールで終了
・デクスメデトミジン
・静かな環境・親の付き添い
・自己抜去・転落に注意</t>
  </si>
  <si>
    <t>小児の術後に起こりやすい合併症は。</t>
  </si>
  <si>
    <r>
      <rPr>
        <sz val="11"/>
        <rFont val="Noto Sans CJK SC"/>
        <family val="2"/>
      </rPr>
      <t>・喉頭痙攣・上気道閉塞
・喉頭浮腫（クループ様症状）
・低体温
・</t>
    </r>
    <r>
      <rPr>
        <sz val="11"/>
        <rFont val="游ゴシック"/>
        <family val="3"/>
        <charset val="128"/>
      </rPr>
      <t xml:space="preserve">PONV
</t>
    </r>
    <r>
      <rPr>
        <sz val="11"/>
        <rFont val="Noto Sans CJK SC"/>
        <family val="2"/>
      </rPr>
      <t>・覚醒時興奮
・低血糖
・早産児の無呼吸</t>
    </r>
  </si>
  <si>
    <t>元早産児の術後無呼吸への対応は。</t>
  </si>
  <si>
    <r>
      <rPr>
        <sz val="11"/>
        <rFont val="Noto Sans CJK SC"/>
        <family val="2"/>
      </rPr>
      <t>・修正在胎</t>
    </r>
    <r>
      <rPr>
        <sz val="11"/>
        <rFont val="游ゴシック"/>
        <family val="3"/>
        <charset val="128"/>
      </rPr>
      <t>60</t>
    </r>
    <r>
      <rPr>
        <sz val="11"/>
        <rFont val="Noto Sans CJK SC"/>
        <family val="2"/>
      </rPr>
      <t>週未満はリスクが高い
・術後</t>
    </r>
    <r>
      <rPr>
        <sz val="11"/>
        <rFont val="游ゴシック"/>
        <family val="3"/>
        <charset val="128"/>
      </rPr>
      <t>24</t>
    </r>
    <r>
      <rPr>
        <sz val="11"/>
        <rFont val="Noto Sans CJK SC"/>
        <family val="2"/>
      </rPr>
      <t>時間のモニタリング（</t>
    </r>
    <r>
      <rPr>
        <sz val="11"/>
        <rFont val="游ゴシック"/>
        <family val="3"/>
        <charset val="128"/>
      </rPr>
      <t>SpO2</t>
    </r>
    <r>
      <rPr>
        <sz val="11"/>
        <rFont val="Noto Sans CJK SC"/>
        <family val="2"/>
      </rPr>
      <t>・無呼吸）
・日帰り手術は避ける
・可能なら区域麻酔（脊椎麻酔）
・カフェインの投与</t>
    </r>
  </si>
  <si>
    <t>術前評価</t>
  </si>
  <si>
    <t>上気道感染のある小児の手術可否の判断は。</t>
  </si>
  <si>
    <r>
      <rPr>
        <sz val="11"/>
        <rFont val="Noto Sans CJK SC"/>
        <family val="2"/>
      </rPr>
      <t>・発熱・膿性鼻汁・湿性咳嗽・全身状態不良なら</t>
    </r>
    <r>
      <rPr>
        <sz val="11"/>
        <rFont val="游ゴシック"/>
        <family val="3"/>
        <charset val="128"/>
      </rPr>
      <t>2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4</t>
    </r>
    <r>
      <rPr>
        <sz val="11"/>
        <rFont val="Noto Sans CJK SC"/>
        <family val="2"/>
      </rPr>
      <t>週間延期
・軽症の鼻汁のみなら個別に判断
・気道合併症（喉頭痙攣、気管支痙攣、脱飽和）が増える
・可能ならマスクやラリンジアルマスクを選択
・気道刺激を減らす</t>
    </r>
  </si>
  <si>
    <t>小児の体温管理の注意点は。</t>
  </si>
  <si>
    <t>・体重あたりの体表面積が大きく低体温になりやすい
・室温を上げる
・温風加温・輸液加温
・頭部からの熱喪失が大きい
・乳児では過加温にも注意</t>
  </si>
  <si>
    <t>導入</t>
  </si>
  <si>
    <t>小児の緩徐導入（吸入導入）の注意点は。</t>
  </si>
  <si>
    <t>・セボフルランで導入
・興奮期の体動・喉頭痙攣
・静脈路確保は入眠後
・保護者の付き添い・プレメディケーション
・導入時の徐脈・血圧低下
・満胃例では行わない</t>
  </si>
  <si>
    <t>小児の仙骨硬膜外ブロックの適応と注意点は。</t>
  </si>
  <si>
    <t>・下腹部・鼠径部・下肢の手術
・全身麻酔下に施行する
・局所麻酔薬の体重あたり最大量を厳守
・局所麻酔薬中毒
・血管内・くも膜下への誤注入
・感染・穿刺部位の異常</t>
  </si>
  <si>
    <t>分野</t>
  </si>
  <si>
    <t>答える数</t>
  </si>
  <si>
    <t>解答欄</t>
  </si>
  <si>
    <t>採点</t>
  </si>
  <si>
    <t>問題数</t>
  </si>
  <si>
    <t>構成比</t>
  </si>
  <si>
    <t>合計</t>
  </si>
  <si>
    <t>使い方・凡例</t>
  </si>
  <si>
    <t>■ シート構成</t>
  </si>
  <si>
    <t>問題一覧：設問と想定回答（キーワード）の本体。行のフィルタで分野別の抽出ができる。</t>
  </si>
  <si>
    <t>出題用（解答欄）：問題一覧を参照した受験者配布用。想定回答は表示されない。</t>
  </si>
  <si>
    <t>分野別集計：大分類ごとの問題数。</t>
  </si>
  <si>
    <t>■ 編集してよい列（問題一覧）</t>
  </si>
  <si>
    <r>
      <rPr>
        <sz val="11"/>
        <rFont val="游ゴシック"/>
        <family val="3"/>
        <charset val="128"/>
      </rPr>
      <t>D</t>
    </r>
    <r>
      <rPr>
        <sz val="11"/>
        <rFont val="Noto Sans CJK SC"/>
        <family val="2"/>
      </rPr>
      <t>列 設問／</t>
    </r>
    <r>
      <rPr>
        <sz val="11"/>
        <rFont val="游ゴシック"/>
        <family val="3"/>
        <charset val="128"/>
      </rPr>
      <t>E</t>
    </r>
    <r>
      <rPr>
        <sz val="11"/>
        <rFont val="Noto Sans CJK SC"/>
        <family val="2"/>
      </rPr>
      <t>列 想定回答／</t>
    </r>
    <r>
      <rPr>
        <sz val="11"/>
        <rFont val="游ゴシック"/>
        <family val="3"/>
        <charset val="128"/>
      </rPr>
      <t>H</t>
    </r>
    <r>
      <rPr>
        <sz val="11"/>
        <rFont val="Noto Sans CJK SC"/>
        <family val="2"/>
      </rPr>
      <t>列 難易度／</t>
    </r>
    <r>
      <rPr>
        <sz val="11"/>
        <rFont val="游ゴシック"/>
        <family val="3"/>
        <charset val="128"/>
      </rPr>
      <t>I</t>
    </r>
    <r>
      <rPr>
        <sz val="11"/>
        <rFont val="Noto Sans CJK SC"/>
        <family val="2"/>
      </rPr>
      <t>列 備考 は自由に書き換え可。</t>
    </r>
  </si>
  <si>
    <r>
      <rPr>
        <sz val="11"/>
        <rFont val="游ゴシック"/>
        <family val="3"/>
        <charset val="128"/>
      </rPr>
      <t>E</t>
    </r>
    <r>
      <rPr>
        <sz val="11"/>
        <rFont val="Noto Sans CJK SC"/>
        <family val="2"/>
      </rPr>
      <t xml:space="preserve">列は「・キーワード」を改行区切りで入力する（セル内改行は </t>
    </r>
    <r>
      <rPr>
        <sz val="11"/>
        <rFont val="游ゴシック"/>
        <family val="3"/>
        <charset val="128"/>
      </rPr>
      <t>Alt+Enter</t>
    </r>
    <r>
      <rPr>
        <sz val="11"/>
        <rFont val="Noto Sans CJK SC"/>
        <family val="2"/>
      </rPr>
      <t>）。</t>
    </r>
  </si>
  <si>
    <r>
      <rPr>
        <sz val="11"/>
        <rFont val="游ゴシック"/>
        <family val="3"/>
        <charset val="128"/>
      </rPr>
      <t>F</t>
    </r>
    <r>
      <rPr>
        <sz val="11"/>
        <rFont val="Noto Sans CJK SC"/>
        <family val="2"/>
      </rPr>
      <t xml:space="preserve">列 キーワード数 と </t>
    </r>
    <r>
      <rPr>
        <sz val="11"/>
        <rFont val="游ゴシック"/>
        <family val="3"/>
        <charset val="128"/>
      </rPr>
      <t>G</t>
    </r>
    <r>
      <rPr>
        <sz val="11"/>
        <rFont val="Noto Sans CJK SC"/>
        <family val="2"/>
      </rPr>
      <t>列 必要解答数 は数式。</t>
    </r>
    <r>
      <rPr>
        <sz val="11"/>
        <rFont val="游ゴシック"/>
        <family val="3"/>
        <charset val="128"/>
      </rPr>
      <t>E</t>
    </r>
    <r>
      <rPr>
        <sz val="11"/>
        <rFont val="Noto Sans CJK SC"/>
        <family val="2"/>
      </rPr>
      <t>列を編集すると自動で再計算される。</t>
    </r>
  </si>
  <si>
    <r>
      <rPr>
        <sz val="11"/>
        <rFont val="游ゴシック"/>
        <family val="3"/>
        <charset val="128"/>
      </rPr>
      <t>G</t>
    </r>
    <r>
      <rPr>
        <sz val="11"/>
        <rFont val="Noto Sans CJK SC"/>
        <family val="2"/>
      </rPr>
      <t>列の既定は「キーワード数の</t>
    </r>
    <r>
      <rPr>
        <sz val="11"/>
        <rFont val="游ゴシック"/>
        <family val="3"/>
        <charset val="128"/>
      </rPr>
      <t>75%</t>
    </r>
    <r>
      <rPr>
        <sz val="11"/>
        <rFont val="Noto Sans CJK SC"/>
        <family val="2"/>
      </rPr>
      <t>を切り上げ・最低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個（上限なし）」。個別に上書きしてよい。</t>
    </r>
  </si>
  <si>
    <t>■ 記入例（この形式で入力する）</t>
  </si>
  <si>
    <r>
      <rPr>
        <sz val="11"/>
        <rFont val="Noto Sans CJK SC"/>
        <family val="2"/>
      </rPr>
      <t>設問：術中に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が上昇したらどうしますか。</t>
    </r>
  </si>
  <si>
    <t>想定回答：・分時換気量を上げる（改行）・無気肺があればリクルートメント（改行）・チューブの異常を確認</t>
  </si>
  <si>
    <r>
      <rPr>
        <sz val="11"/>
        <rFont val="Noto Sans CJK SC"/>
        <family val="2"/>
      </rPr>
      <t>→ キーワード数</t>
    </r>
    <r>
      <rPr>
        <sz val="11"/>
        <rFont val="游ゴシック"/>
        <family val="3"/>
        <charset val="128"/>
      </rPr>
      <t>3</t>
    </r>
    <r>
      <rPr>
        <sz val="11"/>
        <rFont val="Noto Sans CJK SC"/>
        <family val="2"/>
      </rPr>
      <t>、必要解答数</t>
    </r>
    <r>
      <rPr>
        <sz val="11"/>
        <rFont val="游ゴシック"/>
        <family val="3"/>
        <charset val="128"/>
      </rPr>
      <t xml:space="preserve">2 </t>
    </r>
    <r>
      <rPr>
        <sz val="11"/>
        <rFont val="Noto Sans CJK SC"/>
        <family val="2"/>
      </rPr>
      <t>と自動表示される。</t>
    </r>
  </si>
  <si>
    <t>■ 注意</t>
  </si>
  <si>
    <t>薬剤の用量は成人の一般的な目安であり、施設の基準や添付文書を優先すること。</t>
  </si>
  <si>
    <r>
      <rPr>
        <sz val="11"/>
        <rFont val="Noto Sans CJK SC"/>
        <family val="2"/>
      </rPr>
      <t>対象レベルは初期研修医。専攻医向けに使う場合は</t>
    </r>
    <r>
      <rPr>
        <sz val="11"/>
        <rFont val="游ゴシック"/>
        <family val="3"/>
        <charset val="128"/>
      </rPr>
      <t>H</t>
    </r>
    <r>
      <rPr>
        <sz val="11"/>
        <rFont val="Noto Sans CJK SC"/>
        <family val="2"/>
      </rPr>
      <t>列を書き換えて難易度を分けるとよい。</t>
    </r>
  </si>
  <si>
    <t>出典：作成者（麻酔科）の指定範囲に基づき作成。数値は代表的な成書・添付文書の一般的な範囲。</t>
  </si>
  <si>
    <r>
      <t>・心電図
・非観血的血圧
・</t>
    </r>
    <r>
      <rPr>
        <sz val="11"/>
        <rFont val="游ゴシック"/>
        <family val="3"/>
        <charset val="128"/>
      </rPr>
      <t xml:space="preserve">SpO2
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（カプノグラム）
・体温</t>
    </r>
    <phoneticPr fontId="8"/>
  </si>
  <si>
    <t>・高齢
・低体温
・オピオイド・ベンゾジアゼピン併用
・亜酸化窒素併用
・妊娠
・重症貧血・低酸素・低血圧</t>
    <phoneticPr fontId="8"/>
  </si>
  <si>
    <t>術中に血圧が低下した。鑑別は。</t>
    <phoneticPr fontId="8"/>
  </si>
  <si>
    <t>・麻酔が深すぎる
・脱水
・出血の確認
・体位変換・気腹・術者の圧迫
・アナフィラキシー
・緊張性気胸・塞栓
・不整脈・心筋虚血</t>
    <rPh sb="4" eb="5">
      <t xml:space="preserve">フカスギル </t>
    </rPh>
    <rPh sb="10" eb="12">
      <t xml:space="preserve">ダッスイ </t>
    </rPh>
    <phoneticPr fontId="8"/>
  </si>
  <si>
    <t>術中の徐脈の原因は。</t>
    <phoneticPr fontId="8"/>
  </si>
  <si>
    <t>・迷走神経反射（腹膜牽引・眼球圧迫・気腹）
・麻酔薬
・低酸素
・高位脊椎麻酔</t>
    <rPh sb="23" eb="26">
      <t xml:space="preserve">マスイヤク </t>
    </rPh>
    <phoneticPr fontId="8"/>
  </si>
  <si>
    <t>・循環血液量不足
・心拍出量低下
・尿道カテーテルの閉塞・屈曲
・腹腔内圧上昇・気腹
・手術操作（尿管）</t>
    <phoneticPr fontId="8"/>
  </si>
  <si>
    <t>・覚醒遅延・薬効遷延
・シバリングと酸素消費増加
・凝固障害・出血量増加
・手術部位感染の増加
・心血管イベント増加・不整脈</t>
    <rPh sb="59" eb="62">
      <t xml:space="preserve">フセイミャク </t>
    </rPh>
    <phoneticPr fontId="8"/>
  </si>
  <si>
    <r>
      <t>・</t>
    </r>
    <r>
      <rPr>
        <sz val="11"/>
        <rFont val="游ゴシック"/>
        <family val="3"/>
        <charset val="128"/>
      </rPr>
      <t>Hb 7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8g/dL
</t>
    </r>
    <r>
      <rPr>
        <sz val="11"/>
        <rFont val="Noto Sans CJK SC"/>
        <family val="2"/>
      </rPr>
      <t xml:space="preserve">・血小板 </t>
    </r>
    <r>
      <rPr>
        <sz val="11"/>
        <rFont val="游ゴシック"/>
        <family val="3"/>
        <charset val="128"/>
      </rPr>
      <t>5</t>
    </r>
    <r>
      <rPr>
        <sz val="11"/>
        <rFont val="Noto Sans CJK SC"/>
        <family val="2"/>
      </rPr>
      <t>万</t>
    </r>
    <r>
      <rPr>
        <sz val="11"/>
        <rFont val="游ゴシック"/>
        <family val="3"/>
        <charset val="128"/>
      </rPr>
      <t xml:space="preserve">/μL
</t>
    </r>
    <r>
      <rPr>
        <sz val="11"/>
        <rFont val="Noto Sans CJK SC"/>
        <family val="2"/>
      </rPr>
      <t xml:space="preserve">・フィブリノゲン </t>
    </r>
    <r>
      <rPr>
        <sz val="11"/>
        <rFont val="游ゴシック"/>
        <family val="3"/>
        <charset val="128"/>
      </rPr>
      <t>150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200mg/dL
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>PT-INR 1.5</t>
    </r>
    <r>
      <rPr>
        <sz val="11"/>
        <rFont val="Noto Sans CJK SC"/>
        <family val="2"/>
      </rPr>
      <t>以上で</t>
    </r>
    <r>
      <rPr>
        <sz val="11"/>
        <rFont val="游ゴシック"/>
        <family val="3"/>
        <charset val="128"/>
      </rPr>
      <t xml:space="preserve">FFP
</t>
    </r>
    <r>
      <rPr>
        <sz val="11"/>
        <rFont val="Noto Sans CJK SC"/>
        <family val="2"/>
      </rPr>
      <t>・大量出血では</t>
    </r>
    <r>
      <rPr>
        <sz val="11"/>
        <rFont val="游ゴシック"/>
        <family val="3"/>
        <charset val="128"/>
      </rPr>
      <t>1:1:1</t>
    </r>
    <r>
      <rPr>
        <sz val="11"/>
        <rFont val="Noto Sans CJK SC"/>
        <family val="2"/>
      </rPr>
      <t>の比率輸血</t>
    </r>
    <phoneticPr fontId="8"/>
  </si>
  <si>
    <r>
      <t>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波形の連続的な検出
・両側胸郭の挙上
・両肺の聴診
・</t>
    </r>
    <r>
      <rPr>
        <sz val="11"/>
        <rFont val="游ゴシック"/>
        <family val="3"/>
        <charset val="128"/>
      </rPr>
      <t xml:space="preserve">SpO2
</t>
    </r>
    <r>
      <rPr>
        <sz val="11"/>
        <rFont val="Noto Sans CJK SC"/>
        <family val="2"/>
      </rPr>
      <t>・チューブ深さ（成人</t>
    </r>
    <r>
      <rPr>
        <sz val="11"/>
        <rFont val="游ゴシック"/>
        <family val="3"/>
        <charset val="128"/>
      </rPr>
      <t>21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23cm</t>
    </r>
    <r>
      <rPr>
        <sz val="11"/>
        <rFont val="Noto Sans CJK SC"/>
        <family val="2"/>
      </rPr>
      <t>）</t>
    </r>
    <phoneticPr fontId="8"/>
  </si>
  <si>
    <r>
      <t>・麻酔薬・オピオイド残存
・筋弛緩薬の残存
・低体温
・低血糖・電解質異常（低</t>
    </r>
    <r>
      <rPr>
        <sz val="11"/>
        <rFont val="游ゴシック"/>
        <family val="3"/>
        <charset val="128"/>
      </rPr>
      <t>Na</t>
    </r>
    <r>
      <rPr>
        <sz val="11"/>
        <rFont val="Noto Sans CJK SC"/>
        <family val="2"/>
      </rPr>
      <t>）
・高</t>
    </r>
    <r>
      <rPr>
        <sz val="11"/>
        <rFont val="游ゴシック"/>
        <family val="3"/>
        <charset val="128"/>
      </rPr>
      <t>CO2</t>
    </r>
    <r>
      <rPr>
        <sz val="11"/>
        <rFont val="Noto Sans CJK SC"/>
        <family val="2"/>
      </rPr>
      <t>血症
・脳血管障害</t>
    </r>
    <phoneticPr fontId="8"/>
  </si>
  <si>
    <r>
      <t>・被疑薬の中止
・アドレナリン投与
・気道内圧の確認
・</t>
    </r>
    <r>
      <rPr>
        <sz val="11"/>
        <rFont val="游ゴシック"/>
        <family val="3"/>
        <charset val="128"/>
      </rPr>
      <t>100%</t>
    </r>
    <r>
      <rPr>
        <sz val="11"/>
        <rFont val="Noto Sans CJK SC"/>
        <family val="2"/>
      </rPr>
      <t>酸素・気道確保
・術者へ連絡・手術の中断検討
・トリプターゼ採血
・皮膚の確認</t>
    </r>
    <rPh sb="19" eb="21">
      <t xml:space="preserve">キドウ </t>
    </rPh>
    <rPh sb="21" eb="23">
      <t xml:space="preserve">キドウナイアツ </t>
    </rPh>
    <rPh sb="24" eb="26">
      <t xml:space="preserve">カクニン </t>
    </rPh>
    <rPh sb="66" eb="68">
      <t xml:space="preserve">ヒフ </t>
    </rPh>
    <rPh sb="69" eb="71">
      <t xml:space="preserve">カクニン </t>
    </rPh>
    <phoneticPr fontId="8"/>
  </si>
  <si>
    <r>
      <t>・</t>
    </r>
    <r>
      <rPr>
        <sz val="11"/>
        <rFont val="游ゴシック"/>
        <family val="3"/>
        <charset val="128"/>
      </rPr>
      <t>0.05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0.1mg/kg</t>
    </r>
    <r>
      <rPr>
        <sz val="11"/>
        <rFont val="Noto Sans CJK SC"/>
        <family val="2"/>
      </rPr>
      <t>静注
・健忘作用
・高齢者では遷延・術後せん妄</t>
    </r>
    <phoneticPr fontId="8"/>
  </si>
  <si>
    <r>
      <t>・</t>
    </r>
    <r>
      <rPr>
        <sz val="11"/>
        <rFont val="游ゴシック"/>
        <family val="3"/>
        <charset val="128"/>
      </rPr>
      <t>0.2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0.7μg/kg/h</t>
    </r>
    <r>
      <rPr>
        <sz val="11"/>
        <rFont val="Noto Sans CJK SC"/>
        <family val="2"/>
      </rPr>
      <t>持続
・呼吸抑制が少ない
・徐脈・低血圧
・初期負荷で一過性高血圧</t>
    </r>
    <phoneticPr fontId="8"/>
  </si>
  <si>
    <r>
      <t>・</t>
    </r>
    <r>
      <rPr>
        <sz val="11"/>
        <rFont val="游ゴシック"/>
        <family val="3"/>
        <charset val="128"/>
      </rPr>
      <t>0.1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0.5μg/kg/min</t>
    </r>
    <r>
      <rPr>
        <sz val="11"/>
        <rFont val="Noto Sans CJK SC"/>
        <family val="2"/>
      </rPr>
      <t>持続
・エステラーゼで分解、超短時間作用
・蓄積しない（</t>
    </r>
    <r>
      <rPr>
        <sz val="11"/>
        <rFont val="游ゴシック"/>
        <family val="3"/>
        <charset val="128"/>
      </rPr>
      <t>context-sensitive half-time</t>
    </r>
    <r>
      <rPr>
        <sz val="11"/>
        <rFont val="Noto Sans CJK SC"/>
        <family val="2"/>
      </rPr>
      <t>が一定）
・徐脈・血圧低下・筋硬直
・術後鎮痛を必ず先行して準備
・痛覚過敏の可能性</t>
    </r>
    <rPh sb="111" eb="114">
      <t xml:space="preserve">カノウセイ </t>
    </rPh>
    <phoneticPr fontId="8"/>
  </si>
  <si>
    <r>
      <t>・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 xml:space="preserve">回 </t>
    </r>
    <r>
      <rPr>
        <sz val="11"/>
        <rFont val="游ゴシック"/>
        <family val="3"/>
        <charset val="128"/>
      </rPr>
      <t>0.05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0.1mg</t>
    </r>
    <r>
      <rPr>
        <sz val="11"/>
        <rFont val="Noto Sans CJK SC"/>
        <family val="2"/>
      </rPr>
      <t>（</t>
    </r>
    <r>
      <rPr>
        <sz val="11"/>
        <rFont val="游ゴシック"/>
        <family val="3"/>
        <charset val="128"/>
      </rPr>
      <t>50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100μg</t>
    </r>
    <r>
      <rPr>
        <sz val="11"/>
        <rFont val="Noto Sans CJK SC"/>
        <family val="2"/>
      </rPr>
      <t>）静注
・純</t>
    </r>
    <r>
      <rPr>
        <sz val="11"/>
        <rFont val="游ゴシック"/>
        <family val="3"/>
        <charset val="128"/>
      </rPr>
      <t>α1</t>
    </r>
    <r>
      <rPr>
        <sz val="11"/>
        <rFont val="Noto Sans CJK SC"/>
        <family val="2"/>
      </rPr>
      <t>作用
・脈拍低下（反射による）
・心拍出量は増えない</t>
    </r>
    <rPh sb="35" eb="37">
      <t xml:space="preserve">ミャクハク </t>
    </rPh>
    <rPh sb="37" eb="39">
      <t xml:space="preserve">テイカ </t>
    </rPh>
    <rPh sb="40" eb="42">
      <t xml:space="preserve">ハンシャ </t>
    </rPh>
    <phoneticPr fontId="8"/>
  </si>
  <si>
    <r>
      <t>・</t>
    </r>
    <r>
      <rPr>
        <sz val="11"/>
        <rFont val="游ゴシック"/>
        <family val="3"/>
        <charset val="128"/>
      </rPr>
      <t>0.02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0.2μg/kg/min</t>
    </r>
    <r>
      <rPr>
        <sz val="11"/>
        <rFont val="Noto Sans CJK SC"/>
        <family val="2"/>
      </rPr>
      <t>持続
・中心静脈からの投与が望ましい
・血管外漏出で壊死
・過量投与で臓器灌流低下</t>
    </r>
    <rPh sb="49" eb="50">
      <t xml:space="preserve">リョウ </t>
    </rPh>
    <rPh sb="50" eb="52">
      <t xml:space="preserve">トウヨ </t>
    </rPh>
    <phoneticPr fontId="8"/>
  </si>
  <si>
    <r>
      <t>アトロピンの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回量と使用上の注意点は。</t>
    </r>
    <rPh sb="10" eb="13">
      <t xml:space="preserve">シヨウジョウノ </t>
    </rPh>
    <rPh sb="14" eb="16">
      <t xml:space="preserve">チュウイ </t>
    </rPh>
    <rPh sb="16" eb="17">
      <t xml:space="preserve">テン </t>
    </rPh>
    <phoneticPr fontId="8"/>
  </si>
  <si>
    <r>
      <t>・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 xml:space="preserve">回 </t>
    </r>
    <r>
      <rPr>
        <sz val="11"/>
        <rFont val="游ゴシック"/>
        <family val="3"/>
        <charset val="128"/>
      </rPr>
      <t>0.5mg</t>
    </r>
    <r>
      <rPr>
        <sz val="11"/>
        <rFont val="Noto Sans CJK SC"/>
        <family val="2"/>
      </rPr>
      <t>静注
・口渇、散瞳、頻脈、高齢者のせん妄
・緑内障・前立腺肥大に注意</t>
    </r>
    <phoneticPr fontId="8"/>
  </si>
  <si>
    <t>ニカルジピンの使い方と特徴。</t>
    <rPh sb="11" eb="13">
      <t xml:space="preserve">トクチョウ </t>
    </rPh>
    <phoneticPr fontId="8"/>
  </si>
  <si>
    <r>
      <t>・</t>
    </r>
    <r>
      <rPr>
        <sz val="11"/>
        <rFont val="游ゴシック"/>
        <family val="3"/>
        <charset val="128"/>
      </rPr>
      <t>0.2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0.5mg</t>
    </r>
    <r>
      <rPr>
        <sz val="11"/>
        <rFont val="Noto Sans CJK SC"/>
        <family val="2"/>
      </rPr>
      <t>（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 xml:space="preserve">回）静注
・持続 </t>
    </r>
    <r>
      <rPr>
        <sz val="11"/>
        <rFont val="游ゴシック"/>
        <family val="3"/>
        <charset val="128"/>
      </rPr>
      <t>0.5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5μg/kg/min
</t>
    </r>
    <r>
      <rPr>
        <sz val="11"/>
        <rFont val="Noto Sans CJK SC"/>
        <family val="2"/>
      </rPr>
      <t>・作用発現が速い
・反射性頻脈
・脳圧上昇の可能性</t>
    </r>
    <rPh sb="58" eb="61">
      <t xml:space="preserve">カノウセイ </t>
    </rPh>
    <phoneticPr fontId="8"/>
  </si>
  <si>
    <t>ランジオロールの使用量。</t>
    <rPh sb="8" eb="11">
      <t xml:space="preserve">シヨウリョウ </t>
    </rPh>
    <phoneticPr fontId="8"/>
  </si>
  <si>
    <r>
      <t>・</t>
    </r>
    <r>
      <rPr>
        <sz val="11"/>
        <rFont val="游ゴシック"/>
        <family val="3"/>
        <charset val="128"/>
      </rPr>
      <t>0.125mg/kg</t>
    </r>
    <r>
      <rPr>
        <sz val="11"/>
        <rFont val="Noto Sans CJK SC"/>
        <family val="2"/>
      </rPr>
      <t xml:space="preserve">静注 または 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10μg/kg/min</t>
    </r>
    <phoneticPr fontId="8"/>
  </si>
  <si>
    <r>
      <t xml:space="preserve">・デキサメタゾン </t>
    </r>
    <r>
      <rPr>
        <sz val="11"/>
        <rFont val="游ゴシック"/>
        <family val="3"/>
        <charset val="128"/>
      </rPr>
      <t>4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8mg</t>
    </r>
    <r>
      <rPr>
        <sz val="11"/>
        <rFont val="Noto Sans CJK SC"/>
        <family val="2"/>
      </rPr>
      <t xml:space="preserve">
・オンダンセトロン </t>
    </r>
    <r>
      <rPr>
        <sz val="11"/>
        <rFont val="游ゴシック"/>
        <family val="3"/>
        <charset val="128"/>
      </rPr>
      <t>4mg</t>
    </r>
    <r>
      <rPr>
        <sz val="11"/>
        <rFont val="Noto Sans CJK SC"/>
        <family val="2"/>
      </rPr>
      <t xml:space="preserve">（手術終了前）
・ドロペリドール </t>
    </r>
    <r>
      <rPr>
        <sz val="11"/>
        <rFont val="游ゴシック"/>
        <family val="3"/>
        <charset val="128"/>
      </rPr>
      <t>0.625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1.25mg
</t>
    </r>
    <r>
      <rPr>
        <sz val="11"/>
        <rFont val="Noto Sans CJK SC"/>
        <family val="2"/>
      </rPr>
      <t xml:space="preserve">・メトクロプラミド </t>
    </r>
    <r>
      <rPr>
        <sz val="11"/>
        <rFont val="游ゴシック"/>
        <family val="3"/>
        <charset val="128"/>
      </rPr>
      <t>10mg</t>
    </r>
    <phoneticPr fontId="8"/>
  </si>
  <si>
    <r>
      <t>・</t>
    </r>
    <r>
      <rPr>
        <sz val="11"/>
        <rFont val="游ゴシック"/>
        <family val="3"/>
        <charset val="128"/>
      </rPr>
      <t>10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15mg/kg</t>
    </r>
    <r>
      <rPr>
        <sz val="11"/>
        <rFont val="Noto Sans CJK SC"/>
        <family val="2"/>
      </rPr>
      <t>（成人</t>
    </r>
    <r>
      <rPr>
        <sz val="11"/>
        <rFont val="游ゴシック"/>
        <family val="3"/>
        <charset val="128"/>
      </rPr>
      <t>1g、心臓外科ではこれより多く使用</t>
    </r>
    <r>
      <rPr>
        <sz val="11"/>
        <rFont val="Noto Sans CJK SC"/>
        <family val="2"/>
      </rPr>
      <t>）
・外傷・整形外科・心臓外科・産科出血
・けいれん・血栓症のリスク</t>
    </r>
    <rPh sb="17" eb="21">
      <t xml:space="preserve">シンゾウゲカデハ </t>
    </rPh>
    <rPh sb="27" eb="28">
      <t xml:space="preserve">オオクシヨウ </t>
    </rPh>
    <phoneticPr fontId="8"/>
  </si>
  <si>
    <t>・グルコン酸カルシウム（心筋膜安定化）
・グルコース・インスリン療法
・炭酸水素ナトリウム
・利尿薬・透析</t>
    <phoneticPr fontId="8"/>
  </si>
  <si>
    <r>
      <t>・子癇・妊娠高血圧
・</t>
    </r>
    <r>
      <rPr>
        <sz val="11"/>
        <rFont val="游ゴシック"/>
        <family val="3"/>
        <charset val="128"/>
      </rPr>
      <t xml:space="preserve">torsades de pointes
</t>
    </r>
    <r>
      <rPr>
        <sz val="11"/>
        <rFont val="Noto Sans CJK SC"/>
        <family val="2"/>
      </rPr>
      <t>・気管支痙攣
・注意：筋弛緩薬の作用増強、腱反射消失、呼吸抑制</t>
    </r>
    <phoneticPr fontId="8"/>
  </si>
  <si>
    <r>
      <t>・揮発性麻酔薬の即時中止
・</t>
    </r>
    <r>
      <rPr>
        <sz val="11"/>
        <rFont val="游ゴシック"/>
        <family val="3"/>
        <charset val="128"/>
      </rPr>
      <t>100%</t>
    </r>
    <r>
      <rPr>
        <sz val="11"/>
        <rFont val="Noto Sans CJK SC"/>
        <family val="2"/>
      </rPr>
      <t xml:space="preserve">酸素で過換気
・ダントロレン </t>
    </r>
    <r>
      <rPr>
        <sz val="11"/>
        <rFont val="游ゴシック"/>
        <family val="3"/>
        <charset val="128"/>
      </rPr>
      <t>1mg/kg</t>
    </r>
    <r>
      <rPr>
        <sz val="11"/>
        <rFont val="Noto Sans CJK SC"/>
        <family val="2"/>
      </rPr>
      <t>静注（効果不十分なら反復、最大</t>
    </r>
    <r>
      <rPr>
        <sz val="11"/>
        <rFont val="游ゴシック"/>
        <family val="3"/>
        <charset val="128"/>
      </rPr>
      <t>10mg/kg</t>
    </r>
    <r>
      <rPr>
        <sz val="11"/>
        <rFont val="Noto Sans CJK SC"/>
        <family val="2"/>
      </rPr>
      <t>）
・冷却
・高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血症・アシドーシス・不整脈の治療
・尿量確保（ミオグロビン尿）</t>
    </r>
    <phoneticPr fontId="8"/>
  </si>
  <si>
    <r>
      <t>・</t>
    </r>
    <r>
      <rPr>
        <sz val="11"/>
        <rFont val="游ゴシック"/>
        <family val="3"/>
        <charset val="128"/>
      </rPr>
      <t>100%</t>
    </r>
    <r>
      <rPr>
        <sz val="11"/>
        <rFont val="Noto Sans CJK SC"/>
        <family val="2"/>
      </rPr>
      <t>酸素を密着マスクで5分
・または</t>
    </r>
    <r>
      <rPr>
        <sz val="11"/>
        <rFont val="游ゴシック"/>
        <family val="3"/>
        <charset val="128"/>
      </rPr>
      <t>8</t>
    </r>
    <r>
      <rPr>
        <sz val="11"/>
        <rFont val="Noto Sans CJK SC"/>
        <family val="2"/>
      </rPr>
      <t>回の深呼吸
・</t>
    </r>
    <r>
      <rPr>
        <sz val="11"/>
        <rFont val="游ゴシック"/>
        <family val="3"/>
        <charset val="128"/>
      </rPr>
      <t>EtO2 90%</t>
    </r>
    <r>
      <rPr>
        <sz val="11"/>
        <rFont val="Noto Sans CJK SC"/>
        <family val="2"/>
      </rPr>
      <t>以上を目標
・肥満・妊婦・小児では効果が短い</t>
    </r>
    <phoneticPr fontId="8"/>
  </si>
  <si>
    <t>前酸素化（脱窒素）の方法と目安は。</t>
    <phoneticPr fontId="8"/>
  </si>
  <si>
    <r>
      <t>・十分な前酸素化
・静脈麻酔薬＋ロクロニウム</t>
    </r>
    <r>
      <rPr>
        <sz val="11"/>
        <rFont val="游ゴシック"/>
        <family val="3"/>
        <charset val="128"/>
      </rPr>
      <t>1.0mg/kg</t>
    </r>
    <r>
      <rPr>
        <sz val="11"/>
        <rFont val="Noto Sans CJK SC"/>
        <family val="2"/>
      </rPr>
      <t xml:space="preserve">
・マスク換気は原則行わない
・輪状軟骨圧迫
・頭高位
・吸引の準備
・胃管留置</t>
    </r>
    <phoneticPr fontId="8"/>
  </si>
  <si>
    <r>
      <t>・応援を呼ぶ
・</t>
    </r>
    <r>
      <rPr>
        <sz val="11"/>
        <rFont val="游ゴシック"/>
        <family val="3"/>
        <charset val="128"/>
      </rPr>
      <t>100%</t>
    </r>
    <r>
      <rPr>
        <sz val="11"/>
        <rFont val="Noto Sans CJK SC"/>
        <family val="2"/>
      </rPr>
      <t>酸素
・声門上器具（ラリンジアルマスク）
・ビデオ喉頭鏡
・覚醒を検討
・輪状甲状膜穿刺・切開</t>
    </r>
    <rPh sb="42" eb="44">
      <t xml:space="preserve">カクセイ </t>
    </rPh>
    <phoneticPr fontId="8"/>
  </si>
  <si>
    <t>片肺挿管を疑う所見は。</t>
    <phoneticPr fontId="8"/>
  </si>
  <si>
    <r>
      <t>・左呼吸音の減弱
・気道内圧上昇
・</t>
    </r>
    <r>
      <rPr>
        <sz val="11"/>
        <rFont val="游ゴシック"/>
        <family val="3"/>
        <charset val="128"/>
      </rPr>
      <t>SpO2</t>
    </r>
    <r>
      <rPr>
        <sz val="11"/>
        <rFont val="Noto Sans CJK SC"/>
        <family val="2"/>
      </rPr>
      <t>低下</t>
    </r>
    <phoneticPr fontId="8"/>
  </si>
  <si>
    <r>
      <t>・</t>
    </r>
    <r>
      <rPr>
        <sz val="11"/>
        <rFont val="游ゴシック"/>
        <family val="3"/>
        <charset val="128"/>
      </rPr>
      <t xml:space="preserve">FiO2 100%
</t>
    </r>
    <r>
      <rPr>
        <sz val="11"/>
        <rFont val="Noto Sans CJK SC"/>
        <family val="2"/>
      </rPr>
      <t>・麻酔を深くする（セボフルラン、プロポフォール、ケタミン）
・</t>
    </r>
    <r>
      <rPr>
        <sz val="11"/>
        <rFont val="游ゴシック"/>
        <family val="3"/>
        <charset val="128"/>
      </rPr>
      <t>β2</t>
    </r>
    <r>
      <rPr>
        <sz val="11"/>
        <rFont val="Noto Sans CJK SC"/>
        <family val="2"/>
      </rPr>
      <t>刺激薬吸入
・アドレナリン
・ステロイド
・チューブ位置・閉塞の確認</t>
    </r>
    <phoneticPr fontId="8"/>
  </si>
  <si>
    <r>
      <t>PCV</t>
    </r>
    <r>
      <rPr>
        <sz val="11"/>
        <rFont val="Noto Sans CJK SC"/>
        <family val="2"/>
      </rPr>
      <t>と</t>
    </r>
    <r>
      <rPr>
        <sz val="11"/>
        <rFont val="游ゴシック"/>
        <family val="3"/>
        <charset val="128"/>
      </rPr>
      <t>VCV</t>
    </r>
    <r>
      <rPr>
        <sz val="11"/>
        <rFont val="Noto Sans CJK SC"/>
        <family val="2"/>
      </rPr>
      <t>の使い分けは。</t>
    </r>
    <phoneticPr fontId="8"/>
  </si>
  <si>
    <r>
      <t>・</t>
    </r>
    <r>
      <rPr>
        <sz val="11"/>
        <rFont val="游ゴシック"/>
        <family val="3"/>
        <charset val="128"/>
      </rPr>
      <t>PCV</t>
    </r>
    <r>
      <rPr>
        <sz val="11"/>
        <rFont val="Noto Sans CJK SC"/>
        <family val="2"/>
      </rPr>
      <t>：気道内圧を制限したいとき、小児、ラリンジアルマスク、肺コンプライアンス低下
・</t>
    </r>
    <r>
      <rPr>
        <sz val="11"/>
        <rFont val="游ゴシック"/>
        <family val="3"/>
        <charset val="128"/>
      </rPr>
      <t>VCV</t>
    </r>
    <r>
      <rPr>
        <sz val="11"/>
        <rFont val="Noto Sans CJK SC"/>
        <family val="2"/>
      </rPr>
      <t>：一回換気量を確実に保証、腹腔鏡や体位変換で換気量が変動しやすいとき</t>
    </r>
    <phoneticPr fontId="8"/>
  </si>
  <si>
    <r>
      <t>・呼気時間を長く
・呼吸数を下げる
・</t>
    </r>
    <r>
      <rPr>
        <sz val="11"/>
        <rFont val="游ゴシック"/>
        <family val="3"/>
        <charset val="128"/>
      </rPr>
      <t>auto-PEEP</t>
    </r>
    <r>
      <rPr>
        <sz val="11"/>
        <rFont val="Noto Sans CJK SC"/>
        <family val="2"/>
      </rPr>
      <t>（内因性</t>
    </r>
    <r>
      <rPr>
        <sz val="11"/>
        <rFont val="游ゴシック"/>
        <family val="3"/>
        <charset val="128"/>
      </rPr>
      <t>PEEP</t>
    </r>
    <r>
      <rPr>
        <sz val="11"/>
        <rFont val="Noto Sans CJK SC"/>
        <family val="2"/>
      </rPr>
      <t>）に注意
・一回換気量は控えめ</t>
    </r>
    <phoneticPr fontId="8"/>
  </si>
  <si>
    <r>
      <t>・気管支痙攣
・</t>
    </r>
    <r>
      <rPr>
        <sz val="11"/>
        <rFont val="游ゴシック"/>
        <family val="3"/>
        <charset val="128"/>
      </rPr>
      <t>COPD</t>
    </r>
    <r>
      <rPr>
        <sz val="11"/>
        <rFont val="Noto Sans CJK SC"/>
        <family val="2"/>
      </rPr>
      <t>・喘息
・チューブの屈曲・分泌物・位置異常</t>
    </r>
    <phoneticPr fontId="8"/>
  </si>
  <si>
    <r>
      <t>・継続：</t>
    </r>
    <r>
      <rPr>
        <sz val="11"/>
        <rFont val="游ゴシック"/>
        <family val="3"/>
        <charset val="128"/>
      </rPr>
      <t>β</t>
    </r>
    <r>
      <rPr>
        <sz val="11"/>
        <rFont val="Noto Sans CJK SC"/>
        <family val="2"/>
      </rPr>
      <t>遮断薬、</t>
    </r>
    <r>
      <rPr>
        <sz val="11"/>
        <rFont val="游ゴシック"/>
        <family val="3"/>
        <charset val="128"/>
      </rPr>
      <t>Ca</t>
    </r>
    <r>
      <rPr>
        <sz val="11"/>
        <rFont val="Noto Sans CJK SC"/>
        <family val="2"/>
      </rPr>
      <t>拮抗薬
・当日朝は中止：</t>
    </r>
    <r>
      <rPr>
        <sz val="11"/>
        <rFont val="游ゴシック"/>
        <family val="3"/>
        <charset val="128"/>
      </rPr>
      <t>ACE</t>
    </r>
    <r>
      <rPr>
        <sz val="11"/>
        <rFont val="Noto Sans CJK SC"/>
        <family val="2"/>
      </rPr>
      <t>阻害薬・</t>
    </r>
    <r>
      <rPr>
        <sz val="11"/>
        <rFont val="游ゴシック"/>
        <family val="3"/>
        <charset val="128"/>
      </rPr>
      <t>ARB</t>
    </r>
    <r>
      <rPr>
        <sz val="11"/>
        <rFont val="Noto Sans CJK SC"/>
        <family val="2"/>
      </rPr>
      <t>（術中の難治性低血圧）</t>
    </r>
    <phoneticPr fontId="8"/>
  </si>
  <si>
    <r>
      <t>・アスピリンは原則継続
・</t>
    </r>
    <r>
      <rPr>
        <sz val="11"/>
        <rFont val="游ゴシック"/>
        <family val="3"/>
        <charset val="128"/>
      </rPr>
      <t>DAPT</t>
    </r>
    <r>
      <rPr>
        <sz val="11"/>
        <rFont val="Noto Sans CJK SC"/>
        <family val="2"/>
      </rPr>
      <t>は待機手術を延期（</t>
    </r>
    <r>
      <rPr>
        <sz val="11"/>
        <rFont val="游ゴシック"/>
        <family val="3"/>
        <charset val="128"/>
      </rPr>
      <t>DES</t>
    </r>
    <r>
      <rPr>
        <sz val="11"/>
        <rFont val="Noto Sans CJK SC"/>
        <family val="2"/>
      </rPr>
      <t>で</t>
    </r>
    <r>
      <rPr>
        <sz val="11"/>
        <rFont val="游ゴシック"/>
        <family val="3"/>
        <charset val="128"/>
      </rPr>
      <t>6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12</t>
    </r>
    <r>
      <rPr>
        <sz val="11"/>
        <rFont val="Noto Sans CJK SC"/>
        <family val="2"/>
      </rPr>
      <t>か月、</t>
    </r>
    <r>
      <rPr>
        <sz val="11"/>
        <rFont val="游ゴシック"/>
        <family val="3"/>
        <charset val="128"/>
      </rPr>
      <t>BMS</t>
    </r>
    <r>
      <rPr>
        <sz val="11"/>
        <rFont val="Noto Sans CJK SC"/>
        <family val="2"/>
      </rPr>
      <t>で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か月以上）
・中止するとステント血栓症のリスク
・緊急時は循環器と相談
・区域麻酔は抗血小板・抗凝固に注意</t>
    </r>
    <rPh sb="85" eb="88">
      <t xml:space="preserve">コウケッショウバン </t>
    </rPh>
    <rPh sb="90" eb="92">
      <t xml:space="preserve">ギョウコニ </t>
    </rPh>
    <rPh sb="93" eb="95">
      <t xml:space="preserve">チュウイ </t>
    </rPh>
    <phoneticPr fontId="8"/>
  </si>
  <si>
    <t>・導入薬を少量ずつ緩徐に
・心抑制の強い薬を避ける
・前負荷・後負荷の最適化
・観血的動脈圧・心拍出量モニタ
・不整脈の管理</t>
    <phoneticPr fontId="8"/>
  </si>
  <si>
    <t>・徐脈を避ける
・高い後負荷を避ける
・前負荷は維持
・高血圧を避ける</t>
    <rPh sb="4" eb="5">
      <t xml:space="preserve">サケル </t>
    </rPh>
    <rPh sb="9" eb="10">
      <t xml:space="preserve">タカイ </t>
    </rPh>
    <rPh sb="15" eb="16">
      <t xml:space="preserve">サケル </t>
    </rPh>
    <phoneticPr fontId="8"/>
  </si>
  <si>
    <r>
      <t>・循環不安定なら同期電気ショック
・レートコントロール（ランジオロール、ジルチアゼム）
・電解質（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、</t>
    </r>
    <r>
      <rPr>
        <sz val="11"/>
        <rFont val="游ゴシック"/>
        <family val="3"/>
        <charset val="128"/>
      </rPr>
      <t>Mg</t>
    </r>
    <r>
      <rPr>
        <sz val="11"/>
        <rFont val="Noto Sans CJK SC"/>
        <family val="2"/>
      </rPr>
      <t>）補正
・甲状腺・虚血の評価</t>
    </r>
    <phoneticPr fontId="8"/>
  </si>
  <si>
    <r>
      <t>・機種・設定・ペースメーカー依存の有無を確認
・電気メスは短く・バイポーラを推奨
・対極板は植込み部から離す
・必要なら非同期モード
・</t>
    </r>
    <r>
      <rPr>
        <sz val="11"/>
        <rFont val="游ゴシック"/>
        <family val="3"/>
        <charset val="128"/>
      </rPr>
      <t>ICD</t>
    </r>
    <r>
      <rPr>
        <sz val="11"/>
        <rFont val="Noto Sans CJK SC"/>
        <family val="2"/>
      </rPr>
      <t>は頻拍治療をオフにし、体外式除細動パッドを貼付
・術後に設定を確認・再開</t>
    </r>
    <phoneticPr fontId="8"/>
  </si>
  <si>
    <r>
      <t>・術前に</t>
    </r>
    <r>
      <rPr>
        <sz val="11"/>
        <rFont val="游ゴシック"/>
        <family val="3"/>
        <charset val="128"/>
      </rPr>
      <t>β2</t>
    </r>
    <r>
      <rPr>
        <sz val="11"/>
        <rFont val="Noto Sans CJK SC"/>
        <family val="2"/>
      </rPr>
      <t>刺激薬吸入・ステロイド
・十分な麻酔深度で挿管
・可能ならラリンジアルマスク
・ヒスタミン遊離薬・</t>
    </r>
    <r>
      <rPr>
        <sz val="11"/>
        <rFont val="游ゴシック"/>
        <family val="3"/>
        <charset val="128"/>
      </rPr>
      <t>NSAIDs</t>
    </r>
    <r>
      <rPr>
        <sz val="11"/>
        <rFont val="Noto Sans CJK SC"/>
        <family val="2"/>
      </rPr>
      <t>（アスピリン喘息）を避ける
・抜管は深麻酔下も検討</t>
    </r>
    <phoneticPr fontId="8"/>
  </si>
  <si>
    <r>
      <t>・低酸素になるまでが速い
・</t>
    </r>
    <r>
      <rPr>
        <sz val="11"/>
        <rFont val="游ゴシック"/>
        <family val="3"/>
        <charset val="128"/>
      </rPr>
      <t>ramp position</t>
    </r>
    <r>
      <rPr>
        <sz val="11"/>
        <rFont val="Noto Sans CJK SC"/>
        <family val="2"/>
      </rPr>
      <t>（外耳孔と胸骨切痕を水平に）での挿管
・十分な前酸素化・</t>
    </r>
    <r>
      <rPr>
        <sz val="11"/>
        <rFont val="游ゴシック"/>
        <family val="3"/>
        <charset val="128"/>
      </rPr>
      <t xml:space="preserve">PEEP
</t>
    </r>
    <r>
      <rPr>
        <sz val="11"/>
        <rFont val="Noto Sans CJK SC"/>
        <family val="2"/>
      </rPr>
      <t>・マスク換気</t>
    </r>
    <r>
      <rPr>
        <sz val="11"/>
        <rFont val="游ゴシック"/>
        <family val="3"/>
        <charset val="128"/>
      </rPr>
      <t>/</t>
    </r>
    <r>
      <rPr>
        <sz val="11"/>
        <rFont val="Noto Sans CJK SC"/>
        <family val="2"/>
      </rPr>
      <t>挿管困難
・逆流・誤嚥
・薬用量は体重の種類（標準・実体重）を使い分け
・静脈血栓塞栓症
・術後の呼吸管理</t>
    </r>
    <rPh sb="1" eb="4">
      <t xml:space="preserve">テイサンソ </t>
    </rPh>
    <rPh sb="43" eb="45">
      <t xml:space="preserve">ソウカン </t>
    </rPh>
    <rPh sb="90" eb="92">
      <t xml:space="preserve">ヒョウジュン </t>
    </rPh>
    <rPh sb="93" eb="96">
      <t xml:space="preserve">ジツタイジュウ </t>
    </rPh>
    <phoneticPr fontId="8"/>
  </si>
  <si>
    <r>
      <t>・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2</t>
    </r>
    <r>
      <rPr>
        <sz val="11"/>
        <rFont val="Noto Sans CJK SC"/>
        <family val="2"/>
      </rPr>
      <t xml:space="preserve">時間ごとに血糖測定
・目標 </t>
    </r>
    <r>
      <rPr>
        <sz val="11"/>
        <rFont val="游ゴシック"/>
        <family val="3"/>
        <charset val="128"/>
      </rPr>
      <t>140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180mg/dL
</t>
    </r>
    <r>
      <rPr>
        <sz val="11"/>
        <rFont val="Noto Sans CJK SC"/>
        <family val="2"/>
      </rPr>
      <t>・低血糖を最も避ける
・経口血糖降下薬は当日中止（</t>
    </r>
    <r>
      <rPr>
        <sz val="11"/>
        <rFont val="游ゴシック"/>
        <family val="3"/>
        <charset val="128"/>
      </rPr>
      <t>SGLT2</t>
    </r>
    <r>
      <rPr>
        <sz val="11"/>
        <rFont val="Noto Sans CJK SC"/>
        <family val="2"/>
      </rPr>
      <t>阻害薬は2日前から）</t>
    </r>
    <phoneticPr fontId="8"/>
  </si>
  <si>
    <r>
      <t>・前日に透析（当日は避ける）
・術前の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値を確認
・シャント肢での血圧測定・穿刺を避ける
・腎排泄薬（モルヒネ、一部の筋弛緩薬）の蓄積
・スガマデクスの排泄遅延
・貧血・血小板機能低下
・過剰輸液を避ける
・</t>
    </r>
    <r>
      <rPr>
        <sz val="11"/>
        <rFont val="游ゴシック"/>
        <family val="3"/>
        <charset val="128"/>
      </rPr>
      <t>NSAIDs</t>
    </r>
    <r>
      <rPr>
        <sz val="11"/>
        <rFont val="Noto Sans CJK SC"/>
        <family val="2"/>
      </rPr>
      <t>・造影剤を避ける</t>
    </r>
    <rPh sb="99" eb="100">
      <t xml:space="preserve">サケル </t>
    </rPh>
    <phoneticPr fontId="8"/>
  </si>
  <si>
    <t>・レボドパを直前まで継続（半減期が短い、中断で悪性症候群）
・禁忌薬：ドロペリドール、メトクロプラミド、抗精神病薬
・嚥下障害・誤嚥
・呼吸筋障害・術後呼吸不全
・起立性低血圧・自律神経障害
・早期に内服再開</t>
    <phoneticPr fontId="8"/>
  </si>
  <si>
    <r>
      <t>・非脱分極性筋弛緩薬に高感受性（減量または不使用）
・</t>
    </r>
    <r>
      <rPr>
        <sz val="11"/>
        <rFont val="游ゴシック"/>
        <family val="3"/>
        <charset val="128"/>
      </rPr>
      <t>TOF</t>
    </r>
    <r>
      <rPr>
        <sz val="11"/>
        <rFont val="Noto Sans CJK SC"/>
        <family val="2"/>
      </rPr>
      <t>モニタ必須
・抗コリンエステラーゼ薬の継続
・術後の呼吸不全・再挿管
・筋無力症クリーゼとコリン作動性クリーゼの鑑別</t>
    </r>
    <phoneticPr fontId="8"/>
  </si>
  <si>
    <t>・顔面・咽喉頭浮腫（抜管前にリークテスト）
・眼圧・頭蓋内圧の上昇
・換気困難・気道内圧上昇
・チューブの深部移動による片肺挿管
・体のずり落ち・神経障害
・術中の体位変換・ライン確保が困難</t>
    <phoneticPr fontId="8"/>
  </si>
  <si>
    <r>
      <t>・</t>
    </r>
    <r>
      <rPr>
        <sz val="11"/>
        <rFont val="游ゴシック"/>
        <family val="3"/>
        <charset val="128"/>
      </rPr>
      <t>FiO2</t>
    </r>
    <r>
      <rPr>
        <sz val="11"/>
        <rFont val="Noto Sans CJK SC"/>
        <family val="2"/>
      </rPr>
      <t>を上げる
・気管支ファイバーでチューブ位置を確認
・上側（非換気側）肺に</t>
    </r>
    <r>
      <rPr>
        <sz val="11"/>
        <rFont val="游ゴシック"/>
        <family val="3"/>
        <charset val="128"/>
      </rPr>
      <t xml:space="preserve">CPAP
</t>
    </r>
    <r>
      <rPr>
        <sz val="11"/>
        <rFont val="Noto Sans CJK SC"/>
        <family val="2"/>
      </rPr>
      <t>・下側（換気側）肺に</t>
    </r>
    <r>
      <rPr>
        <sz val="11"/>
        <rFont val="游ゴシック"/>
        <family val="3"/>
        <charset val="128"/>
      </rPr>
      <t xml:space="preserve">PEEP
</t>
    </r>
    <r>
      <rPr>
        <sz val="11"/>
        <rFont val="Noto Sans CJK SC"/>
        <family val="2"/>
      </rPr>
      <t>・間欠的な両肺換気
・術者に肺動脈の一時遮断を依頼
・循環（心拍出量）の確認</t>
    </r>
    <phoneticPr fontId="8"/>
  </si>
  <si>
    <r>
      <t>・分離肺換気の管理
・低酸素性肺血管攣縮（</t>
    </r>
    <r>
      <rPr>
        <sz val="11"/>
        <rFont val="游ゴシック"/>
        <family val="3"/>
        <charset val="128"/>
      </rPr>
      <t>HPV</t>
    </r>
    <r>
      <rPr>
        <sz val="11"/>
        <rFont val="Noto Sans CJK SC"/>
        <family val="2"/>
      </rPr>
      <t>）を妨げない
・過剰輸液を避ける（術後肺水腫）
・術後鎮痛（硬膜外・神経ブロック）
・不整脈（心房細動）
・気管支断端瘻・</t>
    </r>
    <r>
      <rPr>
        <sz val="11"/>
        <rFont val="游ゴシック"/>
        <family val="3"/>
        <charset val="128"/>
      </rPr>
      <t>air leak</t>
    </r>
    <rPh sb="58" eb="60">
      <t xml:space="preserve">シンケイ </t>
    </rPh>
    <phoneticPr fontId="8"/>
  </si>
  <si>
    <t>・頭蓋内圧の管理（頭高位、静脈還流の確保、換気量調節、マンニトール・高張食塩水）
・脳灌流圧の維持
・血糖管理
・スムーズな覚醒（咳嗽・高血圧を避ける）
・術後の意識レベル評価
・出血・空気塞栓（頭高位の弊害）</t>
    <rPh sb="21" eb="24">
      <t xml:space="preserve">カンキリョウ </t>
    </rPh>
    <rPh sb="24" eb="26">
      <t xml:space="preserve">チョウセツ </t>
    </rPh>
    <rPh sb="98" eb="99">
      <t xml:space="preserve">アタマ </t>
    </rPh>
    <rPh sb="99" eb="100">
      <t xml:space="preserve">タカイ </t>
    </rPh>
    <rPh sb="100" eb="101">
      <t>1️⃣</t>
    </rPh>
    <rPh sb="102" eb="104">
      <t xml:space="preserve">ヘイガイ </t>
    </rPh>
    <phoneticPr fontId="8"/>
  </si>
  <si>
    <r>
      <t>・空気塞栓
・</t>
    </r>
    <r>
      <rPr>
        <sz val="11"/>
        <rFont val="游ゴシック"/>
        <family val="3"/>
        <charset val="128"/>
      </rPr>
      <t>EtCO2</t>
    </r>
    <r>
      <rPr>
        <sz val="11"/>
        <rFont val="Noto Sans CJK SC"/>
        <family val="2"/>
      </rPr>
      <t>の急低下・低血圧
・術野を生理食塩水で満たす・術者へ連絡
・頭低位・左側臥位
・中心静脈カテーテルから吸引
・亜酸化窒素を中止</t>
    </r>
    <phoneticPr fontId="8"/>
  </si>
  <si>
    <t>開頭術の座位（頭高位）手術で最も注意すべき合併症（1個）と対応（5個）は。</t>
    <rPh sb="0" eb="3">
      <t xml:space="preserve">カイトウジュツ </t>
    </rPh>
    <rPh sb="7" eb="8">
      <t xml:space="preserve">アタマ </t>
    </rPh>
    <rPh sb="8" eb="9">
      <t xml:space="preserve">タカイ </t>
    </rPh>
    <rPh sb="9" eb="10">
      <t>I</t>
    </rPh>
    <phoneticPr fontId="8"/>
  </si>
  <si>
    <t>・反回神経モニタ使用時の筋弛緩薬
・術後血腫による気道閉塞（緊急開創）
・両側反回神経麻痺による上気道閉塞
・術後の低カルシウム血症（副甲状腺）
・気管軟化症</t>
    <phoneticPr fontId="8"/>
  </si>
  <si>
    <t>扁桃摘出術で注意することは。</t>
    <phoneticPr fontId="8"/>
  </si>
  <si>
    <r>
      <t>・術後出血（再手術は満胃・循環血液量減少として</t>
    </r>
    <r>
      <rPr>
        <sz val="11"/>
        <rFont val="游ゴシック"/>
        <family val="3"/>
        <charset val="128"/>
      </rPr>
      <t>RSI</t>
    </r>
    <r>
      <rPr>
        <sz val="11"/>
        <rFont val="Noto Sans CJK SC"/>
        <family val="2"/>
      </rPr>
      <t>）
・術後の気道閉塞
・咽頭パックの抜き忘れ
・開口器によるチューブ閉塞</t>
    </r>
    <phoneticPr fontId="8"/>
  </si>
  <si>
    <t>・骨セメント症候群（低血圧、低酸素、不整脈、心停止）
・肺塞栓・脂肪塞栓
・循環血液量を最適化
・術者に挿入のタイミングを予告してもらう
・昇圧薬の準備</t>
    <phoneticPr fontId="8"/>
  </si>
  <si>
    <r>
      <t>・低ナトリウム血症
・意識障害・けいれん
・徐脈・高血圧のち循環虚脱
・視覚異常（灌流液による）
・溶血
・対応：手術終了、</t>
    </r>
    <r>
      <rPr>
        <sz val="11"/>
        <rFont val="游ゴシック"/>
        <family val="3"/>
        <charset val="128"/>
      </rPr>
      <t>Na</t>
    </r>
    <r>
      <rPr>
        <sz val="11"/>
        <rFont val="Noto Sans CJK SC"/>
        <family val="2"/>
      </rPr>
      <t>の緩徐な補正、利尿、気道確保</t>
    </r>
    <phoneticPr fontId="8"/>
  </si>
  <si>
    <t>・子宮左方転位（仰臥位低血圧の予防）
・急峻な血圧変動への監視
・高位脊椎麻酔（呼吸困難・悪心）
・悪心・嘔吐
・児娩出後のオキシトシンによる血圧低下
・弛緩出血
・全身麻酔なら誤嚥・挿管困難</t>
    <rPh sb="25" eb="27">
      <t xml:space="preserve">ヘンドウヘノ </t>
    </rPh>
    <rPh sb="29" eb="31">
      <t xml:space="preserve">カンシ </t>
    </rPh>
    <phoneticPr fontId="8"/>
  </si>
  <si>
    <r>
      <t>・クランプ時：後負荷の急上昇、心負荷増大、遠位の虚血
・解除時：血圧低下、代謝性アシドーシス、高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血症
・腎虚血・脊髄虚血</t>
    </r>
    <phoneticPr fontId="8"/>
  </si>
  <si>
    <t>・フルストマックとして扱う（迅速導入）
・循環血液量不足を想定
・太い静脈路・輸血の準備
・体温管理
・電解質・アシドーシスの補正
・既往歴・内服の情報が乏しいことを前提に</t>
    <phoneticPr fontId="8"/>
  </si>
  <si>
    <t>眼科手術で注意する反射とその対応は。</t>
    <phoneticPr fontId="8"/>
  </si>
  <si>
    <t>・眼心臓反射（外眼筋牽引による徐脈）
・ 操作中止、アトロピン</t>
    <phoneticPr fontId="8"/>
  </si>
  <si>
    <t>・酸素・吸引・救急薬品・モニタの事前確認
・応援が得にくい
・術中は患者からの距離が遠い
・放射線防護
・造影剤アレルギー</t>
    <rPh sb="31" eb="33">
      <t xml:space="preserve">ジュツチュウ </t>
    </rPh>
    <rPh sb="34" eb="36">
      <t xml:space="preserve">カンジャカラノ </t>
    </rPh>
    <rPh sb="39" eb="41">
      <t xml:space="preserve">キョリガ </t>
    </rPh>
    <rPh sb="42" eb="43">
      <t xml:space="preserve">トオイ </t>
    </rPh>
    <phoneticPr fontId="8"/>
  </si>
  <si>
    <t>脊椎麻酔で高位（全脊椎麻酔）になったときの症状。</t>
    <phoneticPr fontId="8"/>
  </si>
  <si>
    <t>・低血圧・徐脈
・悪心・嘔吐
・上肢のしびれ・呼吸困難
・意識消失</t>
    <phoneticPr fontId="8"/>
  </si>
  <si>
    <t>硬膜外麻酔の合併症は（手技に問題がある場合を含む）。</t>
    <rPh sb="11" eb="13">
      <t xml:space="preserve">シュギ </t>
    </rPh>
    <rPh sb="14" eb="16">
      <t xml:space="preserve">モンダイガアル </t>
    </rPh>
    <rPh sb="19" eb="21">
      <t xml:space="preserve">バアイ </t>
    </rPh>
    <rPh sb="22" eb="23">
      <t xml:space="preserve">フクム </t>
    </rPh>
    <phoneticPr fontId="8"/>
  </si>
  <si>
    <r>
      <t>赤血球液（</t>
    </r>
    <r>
      <rPr>
        <sz val="11"/>
        <rFont val="游ゴシック"/>
        <family val="3"/>
        <charset val="128"/>
      </rPr>
      <t>RBC</t>
    </r>
    <r>
      <rPr>
        <sz val="11"/>
        <rFont val="Noto Sans CJK SC"/>
        <family val="2"/>
      </rPr>
      <t>）</t>
    </r>
    <r>
      <rPr>
        <sz val="11"/>
        <rFont val="游ゴシック"/>
        <family val="3"/>
        <charset val="128"/>
      </rPr>
      <t>2</t>
    </r>
    <r>
      <rPr>
        <sz val="11"/>
        <rFont val="Noto Sans CJK SC"/>
        <family val="2"/>
      </rPr>
      <t>単位で</t>
    </r>
    <r>
      <rPr>
        <sz val="11"/>
        <rFont val="游ゴシック"/>
        <family val="3"/>
        <charset val="128"/>
      </rPr>
      <t>Hb</t>
    </r>
    <r>
      <rPr>
        <sz val="11"/>
        <rFont val="Noto Sans CJK SC"/>
        <family val="2"/>
      </rPr>
      <t>はどのくらい上がるか。</t>
    </r>
    <phoneticPr fontId="8"/>
  </si>
  <si>
    <t>術中の輸血開始の一般的な目安（トリガー）は。</t>
    <rPh sb="8" eb="11">
      <t xml:space="preserve">イッパンテキ </t>
    </rPh>
    <phoneticPr fontId="8"/>
  </si>
  <si>
    <t>術中の輸血開始の目安を早める要素。</t>
    <rPh sb="11" eb="12">
      <t xml:space="preserve">ハヤメル </t>
    </rPh>
    <rPh sb="14" eb="16">
      <t xml:space="preserve">ヨウソ </t>
    </rPh>
    <phoneticPr fontId="8"/>
  </si>
  <si>
    <r>
      <t>・心疾患等の合併症</t>
    </r>
    <r>
      <rPr>
        <sz val="11"/>
        <rFont val="游ゴシック"/>
        <family val="3"/>
        <charset val="128"/>
      </rPr>
      <t xml:space="preserve">
</t>
    </r>
    <r>
      <rPr>
        <sz val="11"/>
        <rFont val="Noto Sans CJK SC"/>
        <family val="2"/>
      </rPr>
      <t>・出血速度と止血の見通しが立たない
・循環動態悪化
・乳酸値上昇
・</t>
    </r>
    <r>
      <rPr>
        <sz val="11"/>
        <rFont val="游ゴシック"/>
        <family val="3"/>
        <charset val="128"/>
      </rPr>
      <t>SvO2低下</t>
    </r>
    <rPh sb="4" eb="5">
      <t xml:space="preserve">トウ </t>
    </rPh>
    <rPh sb="6" eb="9">
      <t xml:space="preserve">ガッペイショウ </t>
    </rPh>
    <rPh sb="23" eb="24">
      <t xml:space="preserve">タタナイ </t>
    </rPh>
    <rPh sb="33" eb="35">
      <t xml:space="preserve">アッカ </t>
    </rPh>
    <rPh sb="39" eb="40">
      <t>🩸</t>
    </rPh>
    <rPh sb="40" eb="42">
      <t xml:space="preserve">ジョウショウ </t>
    </rPh>
    <rPh sb="48" eb="50">
      <t xml:space="preserve">テイカ </t>
    </rPh>
    <phoneticPr fontId="8"/>
  </si>
  <si>
    <r>
      <t>・</t>
    </r>
    <r>
      <rPr>
        <sz val="11"/>
        <rFont val="游ゴシック"/>
        <family val="3"/>
        <charset val="128"/>
      </rPr>
      <t>Hb 7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8g/dL</t>
    </r>
    <phoneticPr fontId="8"/>
  </si>
  <si>
    <r>
      <t>・低体温
・希釈性凝固障害
・クエン酸による低カルシウム血症
・高</t>
    </r>
    <r>
      <rPr>
        <sz val="11"/>
        <rFont val="游ゴシック"/>
        <family val="3"/>
        <charset val="128"/>
      </rPr>
      <t>K</t>
    </r>
    <r>
      <rPr>
        <sz val="11"/>
        <rFont val="Noto Sans CJK SC"/>
        <family val="2"/>
      </rPr>
      <t>血症
・</t>
    </r>
    <r>
      <rPr>
        <sz val="11"/>
        <rFont val="游ゴシック"/>
        <family val="3"/>
        <charset val="128"/>
      </rPr>
      <t>TRALI</t>
    </r>
    <r>
      <rPr>
        <sz val="11"/>
        <rFont val="Noto Sans CJK SC"/>
        <family val="2"/>
      </rPr>
      <t>・</t>
    </r>
    <r>
      <rPr>
        <sz val="11"/>
        <rFont val="游ゴシック"/>
        <family val="3"/>
        <charset val="128"/>
      </rPr>
      <t xml:space="preserve">TACO
</t>
    </r>
    <r>
      <rPr>
        <sz val="11"/>
        <rFont val="Noto Sans CJK SC"/>
        <family val="2"/>
      </rPr>
      <t>・輸血関連感染</t>
    </r>
    <phoneticPr fontId="8"/>
  </si>
  <si>
    <r>
      <t>・</t>
    </r>
    <r>
      <rPr>
        <sz val="11"/>
        <rFont val="游ゴシック"/>
        <family val="3"/>
        <charset val="128"/>
      </rPr>
      <t>24</t>
    </r>
    <r>
      <rPr>
        <sz val="11"/>
        <rFont val="Noto Sans CJK SC"/>
        <family val="2"/>
      </rPr>
      <t>時間で循環血液量に相当する輸血（成人で</t>
    </r>
    <r>
      <rPr>
        <sz val="11"/>
        <rFont val="游ゴシック"/>
        <family val="3"/>
        <charset val="128"/>
      </rPr>
      <t>RBC 10</t>
    </r>
    <r>
      <rPr>
        <sz val="11"/>
        <rFont val="Noto Sans CJK SC"/>
        <family val="2"/>
      </rPr>
      <t>単位以上）
・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時間に</t>
    </r>
    <r>
      <rPr>
        <sz val="11"/>
        <rFont val="游ゴシック"/>
        <family val="3"/>
        <charset val="128"/>
      </rPr>
      <t>100mL</t>
    </r>
    <r>
      <rPr>
        <sz val="11"/>
        <rFont val="Noto Sans CJK SC"/>
        <family val="2"/>
      </rPr>
      <t>以上の輸血が持続</t>
    </r>
    <rPh sb="47" eb="49">
      <t xml:space="preserve">ユケツ </t>
    </rPh>
    <phoneticPr fontId="8"/>
  </si>
  <si>
    <r>
      <t>・</t>
    </r>
    <r>
      <rPr>
        <sz val="11"/>
        <rFont val="游ゴシック"/>
        <family val="3"/>
        <charset val="128"/>
      </rPr>
      <t>150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200mg/dL</t>
    </r>
    <r>
      <rPr>
        <sz val="11"/>
        <rFont val="Noto Sans CJK SC"/>
        <family val="2"/>
      </rPr>
      <t>以上（産科出血では</t>
    </r>
    <r>
      <rPr>
        <sz val="11"/>
        <rFont val="游ゴシック"/>
        <family val="3"/>
        <charset val="128"/>
      </rPr>
      <t>200</t>
    </r>
    <r>
      <rPr>
        <sz val="11"/>
        <rFont val="Noto Sans CJK SC"/>
        <family val="2"/>
      </rPr>
      <t>以上）
・クリオプレシピテート
・</t>
    </r>
    <r>
      <rPr>
        <sz val="11"/>
        <rFont val="游ゴシック"/>
        <family val="3"/>
        <charset val="128"/>
      </rPr>
      <t>FFP</t>
    </r>
    <r>
      <rPr>
        <sz val="11"/>
        <rFont val="Noto Sans CJK SC"/>
        <family val="2"/>
      </rPr>
      <t>（大量が必要）</t>
    </r>
    <phoneticPr fontId="8"/>
  </si>
  <si>
    <t>自己血輸血の種類は。</t>
    <phoneticPr fontId="8"/>
  </si>
  <si>
    <t>回収式自己血輸血を行えない（行いにくい）のはどんな時。</t>
    <rPh sb="0" eb="3">
      <t xml:space="preserve">カイシュウシキ </t>
    </rPh>
    <rPh sb="9" eb="10">
      <t xml:space="preserve">オコナエナイ </t>
    </rPh>
    <rPh sb="14" eb="15">
      <t xml:space="preserve">オコナイニクイ </t>
    </rPh>
    <phoneticPr fontId="8"/>
  </si>
  <si>
    <t>・悪性腫瘍
・感染創</t>
    <phoneticPr fontId="8"/>
  </si>
  <si>
    <t>・貯血式
・希釈式（術前希釈）
・回収式（セルセーバー）</t>
    <phoneticPr fontId="8"/>
  </si>
  <si>
    <r>
      <t>・</t>
    </r>
    <r>
      <rPr>
        <sz val="11"/>
        <rFont val="游ゴシック"/>
        <family val="3"/>
        <charset val="128"/>
      </rPr>
      <t>O</t>
    </r>
    <r>
      <rPr>
        <sz val="11"/>
        <rFont val="Noto Sans CJK SC"/>
        <family val="2"/>
      </rPr>
      <t>型赤血球液
・</t>
    </r>
    <r>
      <rPr>
        <sz val="11"/>
        <rFont val="游ゴシック"/>
        <family val="3"/>
        <charset val="128"/>
      </rPr>
      <t>AB</t>
    </r>
    <r>
      <rPr>
        <sz val="11"/>
        <rFont val="Noto Sans CJK SC"/>
        <family val="2"/>
      </rPr>
      <t>型の</t>
    </r>
    <r>
      <rPr>
        <sz val="11"/>
        <rFont val="游ゴシック"/>
        <family val="3"/>
        <charset val="128"/>
      </rPr>
      <t xml:space="preserve">FFP
</t>
    </r>
    <r>
      <rPr>
        <sz val="11"/>
        <rFont val="Noto Sans CJK SC"/>
        <family val="2"/>
      </rPr>
      <t>・異型適合輸血・クロスマッチ省略の手順を施設プロトコルで確認
・輸血前に血液型判定用採血
・加温と急速輸血装置の準備</t>
    </r>
    <rPh sb="49" eb="52">
      <t xml:space="preserve">ユケツマエ </t>
    </rPh>
    <rPh sb="58" eb="59">
      <t xml:space="preserve">ヨウ </t>
    </rPh>
    <rPh sb="59" eb="61">
      <t xml:space="preserve">サイケツ </t>
    </rPh>
    <phoneticPr fontId="8"/>
  </si>
  <si>
    <r>
      <t>・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 xml:space="preserve">回ボーラス </t>
    </r>
    <r>
      <rPr>
        <sz val="11"/>
        <rFont val="游ゴシック"/>
        <family val="3"/>
        <charset val="128"/>
      </rPr>
      <t>10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20μg
</t>
    </r>
    <r>
      <rPr>
        <sz val="11"/>
        <rFont val="Noto Sans CJK SC"/>
        <family val="2"/>
      </rPr>
      <t xml:space="preserve">・ロックアウトタイム </t>
    </r>
    <r>
      <rPr>
        <sz val="11"/>
        <rFont val="游ゴシック"/>
        <family val="3"/>
        <charset val="128"/>
      </rPr>
      <t>10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15</t>
    </r>
    <r>
      <rPr>
        <sz val="11"/>
        <rFont val="Noto Sans CJK SC"/>
        <family val="2"/>
      </rPr>
      <t>分
・持続は</t>
    </r>
    <r>
      <rPr>
        <sz val="11"/>
        <rFont val="游ゴシック"/>
        <family val="3"/>
        <charset val="128"/>
      </rPr>
      <t>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>20μg/h</t>
    </r>
    <r>
      <rPr>
        <sz val="11"/>
        <rFont val="Noto Sans CJK SC"/>
        <family val="2"/>
      </rPr>
      <t>（併用は呼吸抑制に注意）</t>
    </r>
    <phoneticPr fontId="8"/>
  </si>
  <si>
    <r>
      <t>・呼吸抑制（持続併用、高齢、</t>
    </r>
    <r>
      <rPr>
        <sz val="11"/>
        <rFont val="游ゴシック"/>
        <family val="3"/>
        <charset val="128"/>
      </rPr>
      <t>OSA</t>
    </r>
    <r>
      <rPr>
        <sz val="11"/>
        <rFont val="Noto Sans CJK SC"/>
        <family val="2"/>
      </rPr>
      <t>、腎障害）
・悪心・嘔吐
・掻痒・尿閉
・家族や医療者が代わりに押さない（</t>
    </r>
    <r>
      <rPr>
        <sz val="11"/>
        <rFont val="游ゴシック"/>
        <family val="3"/>
        <charset val="128"/>
      </rPr>
      <t>PCA by proxy</t>
    </r>
    <r>
      <rPr>
        <sz val="11"/>
        <rFont val="Noto Sans CJK SC"/>
        <family val="2"/>
      </rPr>
      <t>）
・モニタリングと観察</t>
    </r>
    <phoneticPr fontId="8"/>
  </si>
  <si>
    <t>・開胸・上腹部手術
・呼吸器合併症の減少
・腸管蠕動の早期回復
・早期離床
・オピオイド減量</t>
    <phoneticPr fontId="8"/>
  </si>
  <si>
    <t>・普段の量を継続したうえで上乗せする
・必要量が大幅に増える
・区域麻酔を積極的に併用
・部分作動薬・拮抗薬（ペンタゾシンなど）で離脱を起こしうる
・ペインチームへ相談</t>
    <phoneticPr fontId="8"/>
  </si>
  <si>
    <t>・末梢循環不良・低体温・昇圧薬
・体動・シバリング
・マニキュア・色素
・強い外光の干渉
・一酸化炭素中毒（過大評価）・メトヘモグロビン血症</t>
    <phoneticPr fontId="8"/>
  </si>
  <si>
    <t>・動脈穿刺・血腫
・気胸・血胸
・不整脈
・空気塞栓
・血栓・感染
・位置異常</t>
    <phoneticPr fontId="8"/>
  </si>
  <si>
    <r>
      <t>・心電図のノイズ
・</t>
    </r>
    <r>
      <rPr>
        <sz val="11"/>
        <rFont val="游ゴシック"/>
        <family val="3"/>
        <charset val="128"/>
      </rPr>
      <t>BIS</t>
    </r>
    <r>
      <rPr>
        <sz val="11"/>
        <rFont val="Noto Sans CJK SC"/>
        <family val="2"/>
      </rPr>
      <t>の表示不良</t>
    </r>
    <phoneticPr fontId="8"/>
  </si>
  <si>
    <t>電気メスによるモニタへの影響は。</t>
    <phoneticPr fontId="8"/>
  </si>
  <si>
    <t>温風式加温装置の使用上の注意。</t>
    <rPh sb="0" eb="2">
      <t xml:space="preserve">オンプウ </t>
    </rPh>
    <rPh sb="2" eb="3">
      <t xml:space="preserve">シキ </t>
    </rPh>
    <rPh sb="8" eb="11">
      <t xml:space="preserve">シヨウジョウノチュウイ </t>
    </rPh>
    <phoneticPr fontId="8"/>
  </si>
  <si>
    <t>・温風のホースを直接体に当てない
・清潔野の汚染を考えドレーピングが終了まではoff
・過加温による高体温</t>
    <rPh sb="25" eb="26">
      <t xml:space="preserve">カンガエ </t>
    </rPh>
    <rPh sb="34" eb="36">
      <t xml:space="preserve">シュウリョウマデハ </t>
    </rPh>
    <phoneticPr fontId="8"/>
  </si>
  <si>
    <r>
      <t>・内径＝年齢</t>
    </r>
    <r>
      <rPr>
        <sz val="11"/>
        <rFont val="游ゴシック"/>
        <family val="3"/>
        <charset val="128"/>
      </rPr>
      <t>/4</t>
    </r>
    <r>
      <rPr>
        <sz val="11"/>
        <rFont val="Noto Sans CJK SC"/>
        <family val="2"/>
      </rPr>
      <t>＋</t>
    </r>
    <r>
      <rPr>
        <sz val="11"/>
        <rFont val="游ゴシック"/>
        <family val="3"/>
        <charset val="128"/>
      </rPr>
      <t>4</t>
    </r>
    <r>
      <rPr>
        <sz val="11"/>
        <rFont val="Noto Sans CJK SC"/>
        <family val="2"/>
      </rPr>
      <t>（カフ付きは</t>
    </r>
    <r>
      <rPr>
        <sz val="11"/>
        <rFont val="游ゴシック"/>
        <family val="3"/>
        <charset val="128"/>
      </rPr>
      <t>0.5</t>
    </r>
    <r>
      <rPr>
        <sz val="11"/>
        <rFont val="Noto Sans CJK SC"/>
        <family val="2"/>
      </rPr>
      <t>小さく）
・挿入長＝内径</t>
    </r>
    <r>
      <rPr>
        <sz val="11"/>
        <rFont val="游ゴシック"/>
        <family val="3"/>
        <charset val="128"/>
      </rPr>
      <t xml:space="preserve">×3cm、5＋身長/10
</t>
    </r>
    <r>
      <rPr>
        <sz val="11"/>
        <rFont val="Noto Sans CJK SC"/>
        <family val="2"/>
      </rPr>
      <t>・新生児は内径</t>
    </r>
    <r>
      <rPr>
        <sz val="11"/>
        <rFont val="游ゴシック"/>
        <family val="3"/>
        <charset val="128"/>
      </rPr>
      <t>3.0</t>
    </r>
    <r>
      <rPr>
        <sz val="11"/>
        <rFont val="Noto Sans CJK SC"/>
        <family val="2"/>
      </rPr>
      <t>〜</t>
    </r>
    <r>
      <rPr>
        <sz val="11"/>
        <rFont val="游ゴシック"/>
        <family val="3"/>
        <charset val="128"/>
      </rPr>
      <t xml:space="preserve">3.5mm
</t>
    </r>
    <r>
      <rPr>
        <sz val="11"/>
        <rFont val="Noto Sans CJK SC"/>
        <family val="2"/>
      </rPr>
      <t>・リークの確認
・</t>
    </r>
    <r>
      <rPr>
        <sz val="11"/>
        <rFont val="游ゴシック"/>
        <family val="3"/>
        <charset val="128"/>
      </rPr>
      <t>1</t>
    </r>
    <r>
      <rPr>
        <sz val="11"/>
        <rFont val="Noto Sans CJK SC"/>
        <family val="2"/>
      </rPr>
      <t>サイズ上下を準備</t>
    </r>
    <rPh sb="38" eb="40">
      <t xml:space="preserve">シンチョウ </t>
    </rPh>
    <phoneticPr fontId="8"/>
  </si>
  <si>
    <r>
      <t>・刺激（吸引・操作）を中止
・</t>
    </r>
    <r>
      <rPr>
        <sz val="11"/>
        <rFont val="游ゴシック"/>
        <family val="3"/>
        <charset val="128"/>
      </rPr>
      <t>100%</t>
    </r>
    <r>
      <rPr>
        <sz val="11"/>
        <rFont val="Noto Sans CJK SC"/>
        <family val="2"/>
      </rPr>
      <t>酸素と下顎挙上・持続陽圧
・麻酔を深くする
・改善なければ筋弛緩
・アトロピン併用
・陰圧性肺水腫に注意</t>
    </r>
    <rPh sb="48" eb="51">
      <t xml:space="preserve">キンシカン </t>
    </rPh>
    <phoneticPr fontId="8"/>
  </si>
  <si>
    <t>リドカイン局注の最大投与量は。</t>
    <rPh sb="5" eb="6">
      <t xml:space="preserve">キョクショ </t>
    </rPh>
    <rPh sb="6" eb="7">
      <t xml:space="preserve">チュウシャ </t>
    </rPh>
    <phoneticPr fontId="8"/>
  </si>
  <si>
    <t>筋弛緩薬</t>
    <rPh sb="0" eb="4">
      <t xml:space="preserve">キンシカンヤク </t>
    </rPh>
    <phoneticPr fontId="8"/>
  </si>
  <si>
    <t>セボフルランの一般的な維持濃度は。</t>
    <rPh sb="7" eb="10">
      <t xml:space="preserve">イッパンテキナ </t>
    </rPh>
    <rPh sb="11" eb="13">
      <t xml:space="preserve">イジ </t>
    </rPh>
    <rPh sb="13" eb="15">
      <t xml:space="preserve">ノウド </t>
    </rPh>
    <phoneticPr fontId="8"/>
  </si>
  <si>
    <t>・1-1.5％程度</t>
    <rPh sb="7" eb="9">
      <t xml:space="preserve">テイド </t>
    </rPh>
    <phoneticPr fontId="8"/>
  </si>
  <si>
    <t>デスフルランの一般的な維持濃度は。</t>
    <rPh sb="7" eb="10">
      <t xml:space="preserve">イッパンテキナ </t>
    </rPh>
    <rPh sb="11" eb="15">
      <t xml:space="preserve">イジノウド </t>
    </rPh>
    <phoneticPr fontId="8"/>
  </si>
  <si>
    <t>・5％前後</t>
    <rPh sb="3" eb="5">
      <t xml:space="preserve">ゼンゴ </t>
    </rPh>
    <phoneticPr fontId="8"/>
  </si>
  <si>
    <t>血圧の一般的な維持目標</t>
    <rPh sb="0" eb="2">
      <t xml:space="preserve">ケツアツノ </t>
    </rPh>
    <rPh sb="3" eb="6">
      <t xml:space="preserve">イッパンテキナ </t>
    </rPh>
    <rPh sb="7" eb="9">
      <t xml:space="preserve">イジ </t>
    </rPh>
    <rPh sb="9" eb="11">
      <t xml:space="preserve">モクヒョウ </t>
    </rPh>
    <phoneticPr fontId="8"/>
  </si>
  <si>
    <t>・平均血圧65mmHg以上</t>
    <rPh sb="1" eb="5">
      <t xml:space="preserve">ヘイキンケツアツ </t>
    </rPh>
    <rPh sb="11" eb="13">
      <t xml:space="preserve">イジョウ </t>
    </rPh>
    <phoneticPr fontId="8"/>
  </si>
  <si>
    <t>ロクロニウムの一般的な追加タイミング（腹腔鏡手術時のTOF値、それ以外の手術）</t>
    <rPh sb="7" eb="10">
      <t xml:space="preserve">イッパンテキナ </t>
    </rPh>
    <rPh sb="11" eb="13">
      <t xml:space="preserve">ツイカタイミング </t>
    </rPh>
    <rPh sb="19" eb="22">
      <t xml:space="preserve">フククウキョウ </t>
    </rPh>
    <rPh sb="22" eb="24">
      <t xml:space="preserve">シュジュツ </t>
    </rPh>
    <rPh sb="24" eb="25">
      <t xml:space="preserve">ジ </t>
    </rPh>
    <rPh sb="29" eb="30">
      <t xml:space="preserve">チ </t>
    </rPh>
    <rPh sb="36" eb="38">
      <t xml:space="preserve">シュジュツデノ </t>
    </rPh>
    <phoneticPr fontId="8"/>
  </si>
  <si>
    <t>・腹腔鏡ではTOF1以下
・腹腔鏡以外は2以下</t>
    <rPh sb="1" eb="4">
      <t xml:space="preserve">フククウキョウ </t>
    </rPh>
    <rPh sb="10" eb="12">
      <t xml:space="preserve">イカ </t>
    </rPh>
    <rPh sb="14" eb="19">
      <t xml:space="preserve">フククウキョウイガイハ </t>
    </rPh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</si>
</sst>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9">
    <font>
      <sz val="11"/>
      <color theme="1"/>
      <name val="Calibri"/>
      <family val="2"/>
      <charset val="1"/>
    </font>
    <font>
      <b/>
      <sz val="11"/>
      <color rgb="FFFFFFFF"/>
      <name val="游ゴシック"/>
      <family val="3"/>
      <charset val="128"/>
    </font>
    <font>
      <b/>
      <sz val="11"/>
      <color rgb="FFFFFFFF"/>
      <name val="Noto Sans CJK SC"/>
      <family val="2"/>
    </font>
    <font>
      <sz val="11"/>
      <name val="游ゴシック"/>
      <family val="3"/>
      <charset val="128"/>
    </font>
    <font>
      <sz val="11"/>
      <name val="Noto Sans CJK SC"/>
      <family val="2"/>
    </font>
    <font>
      <b/>
      <sz val="11"/>
      <name val="Noto Sans CJK SC"/>
      <family val="2"/>
    </font>
    <font>
      <b/>
      <sz val="11"/>
      <name val="游ゴシック"/>
      <family val="3"/>
      <charset val="128"/>
    </font>
    <font>
      <b/>
      <sz val="12"/>
      <name val="Noto Sans CJK SC"/>
      <family val="2"/>
    </font>
    <font>
      <sz val="6"/>
      <name val="Yu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D9F2E6"/>
      </patternFill>
    </fill>
    <fill>
      <patternFill patternType="solid">
        <fgColor rgb="FFE2EFDA"/>
        <bgColor rgb="FFD9F2E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F8CBAD"/>
        <bgColor rgb="FFFCE4D6"/>
      </patternFill>
    </fill>
    <fill>
      <patternFill patternType="solid">
        <fgColor rgb="FFD9E1F2"/>
        <bgColor rgb="FFE4DFEC"/>
      </patternFill>
    </fill>
    <fill>
      <patternFill patternType="solid">
        <fgColor rgb="FFE4DFEC"/>
        <bgColor rgb="FFD9E1F2"/>
      </patternFill>
    </fill>
    <fill>
      <patternFill patternType="solid">
        <fgColor rgb="FFD9F2E6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4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4" fillId="0" borderId="1" xfId="0" applyFont="1" applyBorder="1"/>
    <xf numFmtId="176" fontId="3" fillId="0" borderId="1" xfId="0" applyNumberFormat="1" applyFont="1" applyBorder="1"/>
    <xf numFmtId="0" fontId="5" fillId="0" borderId="1" xfId="0" applyFont="1" applyBorder="1"/>
    <xf numFmtId="176" fontId="6" fillId="0" borderId="1" xfId="0" applyNumberFormat="1" applyFont="1" applyBorder="1"/>
    <xf numFmtId="0" fontId="7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F2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2EFDA"/>
      <rgbColor rgb="FFFCE4D6"/>
      <rgbColor rgb="FFE4DFEC"/>
      <rgbColor rgb="FFEDEDED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7"/>
  <sheetViews>
    <sheetView zoomScaleNormal="100" workbookViewId="0">
      <pane xSplit="3" ySplit="1" topLeftCell="D195" activePane="bottomRight" state="frozen"/>
      <selection pane="topRight" activeCell="D1" sqref="D1"/>
      <selection pane="bottomLeft" activeCell="A2" sqref="A2"/>
      <selection pane="bottomRight" activeCell="E204" sqref="E204"/>
    </sheetView>
  </sheetViews>
  <sheetFormatPr baseColWidth="10" defaultColWidth="8.6640625" defaultRowHeight="15"/>
  <cols>
    <col min="1" max="1" width="5" customWidth="1"/>
    <col min="2" max="2" width="14" customWidth="1"/>
    <col min="3" max="3" width="16" customWidth="1"/>
    <col min="4" max="4" width="46" customWidth="1"/>
    <col min="5" max="5" width="62" customWidth="1"/>
    <col min="6" max="8" width="8" customWidth="1"/>
    <col min="9" max="9" width="16" customWidth="1"/>
  </cols>
  <sheetData>
    <row r="1" spans="1:9" ht="31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60">
      <c r="A2" s="3">
        <v>1</v>
      </c>
      <c r="B2" s="4" t="s">
        <v>9</v>
      </c>
      <c r="C2" s="4" t="s">
        <v>10</v>
      </c>
      <c r="D2" s="5" t="s">
        <v>11</v>
      </c>
      <c r="E2" s="5" t="s">
        <v>12</v>
      </c>
      <c r="F2" s="3">
        <f t="shared" ref="F2:F59" si="0">IF(E2="",0,LEN(E2)-LEN(SUBSTITUTE(E2,CHAR(10),""))+1)</f>
        <v>4</v>
      </c>
      <c r="G2" s="3">
        <f t="shared" ref="G2:G59" si="1">MAX(1,ROUNDUP(F2*0.75,0))</f>
        <v>3</v>
      </c>
      <c r="H2" s="6" t="s">
        <v>13</v>
      </c>
      <c r="I2" s="3"/>
    </row>
    <row r="3" spans="1:9" ht="83">
      <c r="A3" s="3">
        <v>2</v>
      </c>
      <c r="B3" s="4" t="s">
        <v>9</v>
      </c>
      <c r="C3" s="4" t="s">
        <v>14</v>
      </c>
      <c r="D3" s="5" t="s">
        <v>15</v>
      </c>
      <c r="E3" s="5" t="s">
        <v>459</v>
      </c>
      <c r="F3" s="3">
        <f t="shared" si="0"/>
        <v>5</v>
      </c>
      <c r="G3" s="3">
        <f t="shared" si="1"/>
        <v>4</v>
      </c>
      <c r="H3" s="6" t="s">
        <v>13</v>
      </c>
      <c r="I3" s="3"/>
    </row>
    <row r="4" spans="1:9" ht="109">
      <c r="A4" s="3">
        <v>3</v>
      </c>
      <c r="B4" s="4" t="s">
        <v>9</v>
      </c>
      <c r="C4" s="4" t="s">
        <v>16</v>
      </c>
      <c r="D4" s="5" t="s">
        <v>17</v>
      </c>
      <c r="E4" s="5" t="s">
        <v>18</v>
      </c>
      <c r="F4" s="3">
        <f t="shared" si="0"/>
        <v>7</v>
      </c>
      <c r="G4" s="3">
        <f t="shared" si="1"/>
        <v>6</v>
      </c>
      <c r="H4" s="6" t="s">
        <v>13</v>
      </c>
      <c r="I4" s="3"/>
    </row>
    <row r="5" spans="1:9" ht="76">
      <c r="A5" s="3">
        <v>4</v>
      </c>
      <c r="B5" s="4" t="s">
        <v>9</v>
      </c>
      <c r="C5" s="4" t="s">
        <v>19</v>
      </c>
      <c r="D5" s="7" t="s">
        <v>20</v>
      </c>
      <c r="E5" s="5" t="s">
        <v>21</v>
      </c>
      <c r="F5" s="3">
        <f t="shared" si="0"/>
        <v>4</v>
      </c>
      <c r="G5" s="3">
        <f t="shared" si="1"/>
        <v>3</v>
      </c>
      <c r="H5" s="6" t="s">
        <v>13</v>
      </c>
      <c r="I5" s="3"/>
    </row>
    <row r="6" spans="1:9" ht="90">
      <c r="A6" s="3">
        <v>5</v>
      </c>
      <c r="B6" s="4" t="s">
        <v>9</v>
      </c>
      <c r="C6" s="4" t="s">
        <v>19</v>
      </c>
      <c r="D6" s="7" t="s">
        <v>22</v>
      </c>
      <c r="E6" s="5" t="s">
        <v>460</v>
      </c>
      <c r="F6" s="3">
        <f t="shared" si="0"/>
        <v>6</v>
      </c>
      <c r="G6" s="3">
        <f t="shared" si="1"/>
        <v>5</v>
      </c>
      <c r="H6" s="6" t="s">
        <v>13</v>
      </c>
      <c r="I6" s="3"/>
    </row>
    <row r="7" spans="1:9" ht="105">
      <c r="A7" s="3">
        <v>6</v>
      </c>
      <c r="B7" s="4" t="s">
        <v>9</v>
      </c>
      <c r="C7" s="4" t="s">
        <v>23</v>
      </c>
      <c r="D7" s="5" t="s">
        <v>461</v>
      </c>
      <c r="E7" s="5" t="s">
        <v>462</v>
      </c>
      <c r="F7" s="3">
        <f t="shared" si="0"/>
        <v>7</v>
      </c>
      <c r="G7" s="3">
        <f t="shared" si="1"/>
        <v>6</v>
      </c>
      <c r="H7" s="6" t="s">
        <v>13</v>
      </c>
      <c r="I7" s="3"/>
    </row>
    <row r="8" spans="1:9" ht="109">
      <c r="A8" s="3">
        <v>7</v>
      </c>
      <c r="B8" s="4" t="s">
        <v>9</v>
      </c>
      <c r="C8" s="4" t="s">
        <v>23</v>
      </c>
      <c r="D8" s="5" t="s">
        <v>24</v>
      </c>
      <c r="E8" s="5" t="s">
        <v>25</v>
      </c>
      <c r="F8" s="3">
        <f t="shared" si="0"/>
        <v>7</v>
      </c>
      <c r="G8" s="3">
        <f t="shared" si="1"/>
        <v>6</v>
      </c>
      <c r="H8" s="6" t="s">
        <v>13</v>
      </c>
      <c r="I8" s="3"/>
    </row>
    <row r="9" spans="1:9" ht="60">
      <c r="A9" s="3">
        <v>8</v>
      </c>
      <c r="B9" s="4" t="s">
        <v>9</v>
      </c>
      <c r="C9" s="4" t="s">
        <v>23</v>
      </c>
      <c r="D9" s="5" t="s">
        <v>463</v>
      </c>
      <c r="E9" s="5" t="s">
        <v>464</v>
      </c>
      <c r="F9" s="3">
        <f t="shared" si="0"/>
        <v>4</v>
      </c>
      <c r="G9" s="3">
        <f t="shared" si="1"/>
        <v>3</v>
      </c>
      <c r="H9" s="6" t="s">
        <v>13</v>
      </c>
      <c r="I9" s="3"/>
    </row>
    <row r="10" spans="1:9" ht="90">
      <c r="A10" s="3">
        <v>9</v>
      </c>
      <c r="B10" s="4" t="s">
        <v>9</v>
      </c>
      <c r="C10" s="4" t="s">
        <v>26</v>
      </c>
      <c r="D10" s="5" t="s">
        <v>27</v>
      </c>
      <c r="E10" s="5" t="s">
        <v>28</v>
      </c>
      <c r="F10" s="3">
        <f t="shared" si="0"/>
        <v>6</v>
      </c>
      <c r="G10" s="3">
        <f t="shared" si="1"/>
        <v>5</v>
      </c>
      <c r="H10" s="6" t="s">
        <v>13</v>
      </c>
      <c r="I10" s="3"/>
    </row>
    <row r="11" spans="1:9" ht="90">
      <c r="A11" s="3">
        <v>10</v>
      </c>
      <c r="B11" s="4" t="s">
        <v>9</v>
      </c>
      <c r="C11" s="4" t="s">
        <v>26</v>
      </c>
      <c r="D11" s="5" t="s">
        <v>29</v>
      </c>
      <c r="E11" s="5" t="s">
        <v>30</v>
      </c>
      <c r="F11" s="3">
        <f t="shared" si="0"/>
        <v>6</v>
      </c>
      <c r="G11" s="3">
        <f t="shared" si="1"/>
        <v>5</v>
      </c>
      <c r="H11" s="6" t="s">
        <v>13</v>
      </c>
      <c r="I11" s="3"/>
    </row>
    <row r="12" spans="1:9" ht="83">
      <c r="A12" s="3">
        <v>11</v>
      </c>
      <c r="B12" s="4" t="s">
        <v>9</v>
      </c>
      <c r="C12" s="4" t="s">
        <v>31</v>
      </c>
      <c r="D12" s="5" t="s">
        <v>32</v>
      </c>
      <c r="E12" s="5" t="s">
        <v>33</v>
      </c>
      <c r="F12" s="3">
        <f t="shared" si="0"/>
        <v>5</v>
      </c>
      <c r="G12" s="3">
        <f t="shared" si="1"/>
        <v>4</v>
      </c>
      <c r="H12" s="6" t="s">
        <v>13</v>
      </c>
      <c r="I12" s="3">
        <v>0</v>
      </c>
    </row>
    <row r="13" spans="1:9" ht="75">
      <c r="A13" s="3">
        <v>12</v>
      </c>
      <c r="B13" s="4" t="s">
        <v>9</v>
      </c>
      <c r="C13" s="4" t="s">
        <v>31</v>
      </c>
      <c r="D13" s="5" t="s">
        <v>34</v>
      </c>
      <c r="E13" s="5" t="s">
        <v>465</v>
      </c>
      <c r="F13" s="3">
        <f t="shared" si="0"/>
        <v>5</v>
      </c>
      <c r="G13" s="3">
        <f t="shared" si="1"/>
        <v>4</v>
      </c>
      <c r="H13" s="6" t="s">
        <v>13</v>
      </c>
      <c r="I13" s="3"/>
    </row>
    <row r="14" spans="1:9" ht="79">
      <c r="A14" s="3">
        <v>13</v>
      </c>
      <c r="B14" s="4" t="s">
        <v>9</v>
      </c>
      <c r="C14" s="4" t="s">
        <v>35</v>
      </c>
      <c r="D14" s="5" t="s">
        <v>36</v>
      </c>
      <c r="E14" s="5" t="s">
        <v>37</v>
      </c>
      <c r="F14" s="3">
        <f t="shared" si="0"/>
        <v>5</v>
      </c>
      <c r="G14" s="3">
        <f t="shared" si="1"/>
        <v>4</v>
      </c>
      <c r="H14" s="6" t="s">
        <v>13</v>
      </c>
      <c r="I14" s="3"/>
    </row>
    <row r="15" spans="1:9" ht="75">
      <c r="A15" s="3">
        <v>14</v>
      </c>
      <c r="B15" s="4" t="s">
        <v>9</v>
      </c>
      <c r="C15" s="4" t="s">
        <v>35</v>
      </c>
      <c r="D15" s="5" t="s">
        <v>38</v>
      </c>
      <c r="E15" s="5" t="s">
        <v>466</v>
      </c>
      <c r="F15" s="3">
        <f t="shared" si="0"/>
        <v>5</v>
      </c>
      <c r="G15" s="3">
        <f t="shared" si="1"/>
        <v>4</v>
      </c>
      <c r="H15" s="6" t="s">
        <v>13</v>
      </c>
      <c r="I15" s="3"/>
    </row>
    <row r="16" spans="1:9" ht="95">
      <c r="A16" s="3">
        <v>15</v>
      </c>
      <c r="B16" s="4" t="s">
        <v>9</v>
      </c>
      <c r="C16" s="4" t="s">
        <v>39</v>
      </c>
      <c r="D16" s="5" t="s">
        <v>40</v>
      </c>
      <c r="E16" s="5" t="s">
        <v>467</v>
      </c>
      <c r="F16" s="3">
        <f t="shared" si="0"/>
        <v>5</v>
      </c>
      <c r="G16" s="3">
        <f t="shared" si="1"/>
        <v>4</v>
      </c>
      <c r="H16" s="6" t="s">
        <v>13</v>
      </c>
      <c r="I16" s="3"/>
    </row>
    <row r="17" spans="1:9" ht="87">
      <c r="A17" s="3">
        <v>16</v>
      </c>
      <c r="B17" s="4" t="s">
        <v>9</v>
      </c>
      <c r="C17" s="4" t="s">
        <v>41</v>
      </c>
      <c r="D17" s="5" t="s">
        <v>42</v>
      </c>
      <c r="E17" s="5" t="s">
        <v>468</v>
      </c>
      <c r="F17" s="3">
        <f t="shared" si="0"/>
        <v>5</v>
      </c>
      <c r="G17" s="3">
        <f t="shared" si="1"/>
        <v>4</v>
      </c>
      <c r="H17" s="6" t="s">
        <v>13</v>
      </c>
      <c r="I17" s="3"/>
    </row>
    <row r="18" spans="1:9" ht="94">
      <c r="A18" s="3">
        <v>17</v>
      </c>
      <c r="B18" s="4" t="s">
        <v>9</v>
      </c>
      <c r="C18" s="4" t="s">
        <v>43</v>
      </c>
      <c r="D18" s="5" t="s">
        <v>44</v>
      </c>
      <c r="E18" s="5" t="s">
        <v>45</v>
      </c>
      <c r="F18" s="3">
        <f t="shared" si="0"/>
        <v>6</v>
      </c>
      <c r="G18" s="3">
        <f t="shared" si="1"/>
        <v>5</v>
      </c>
      <c r="H18" s="6" t="s">
        <v>13</v>
      </c>
      <c r="I18" s="3"/>
    </row>
    <row r="19" spans="1:9" ht="98">
      <c r="A19" s="3">
        <v>18</v>
      </c>
      <c r="B19" s="4" t="s">
        <v>9</v>
      </c>
      <c r="C19" s="4" t="s">
        <v>46</v>
      </c>
      <c r="D19" s="5" t="s">
        <v>47</v>
      </c>
      <c r="E19" s="5" t="s">
        <v>469</v>
      </c>
      <c r="F19" s="3">
        <f t="shared" si="0"/>
        <v>6</v>
      </c>
      <c r="G19" s="3">
        <f t="shared" si="1"/>
        <v>5</v>
      </c>
      <c r="H19" s="6" t="s">
        <v>13</v>
      </c>
      <c r="I19" s="3"/>
    </row>
    <row r="20" spans="1:9" ht="109">
      <c r="A20" s="3">
        <v>19</v>
      </c>
      <c r="B20" s="4" t="s">
        <v>9</v>
      </c>
      <c r="C20" s="4" t="s">
        <v>48</v>
      </c>
      <c r="D20" s="5" t="s">
        <v>49</v>
      </c>
      <c r="E20" s="5" t="s">
        <v>50</v>
      </c>
      <c r="F20" s="3">
        <f t="shared" si="0"/>
        <v>7</v>
      </c>
      <c r="G20" s="3">
        <f t="shared" si="1"/>
        <v>6</v>
      </c>
      <c r="H20" s="6" t="s">
        <v>13</v>
      </c>
      <c r="I20" s="3"/>
    </row>
    <row r="21" spans="1:9" ht="83">
      <c r="A21" s="3">
        <v>20</v>
      </c>
      <c r="B21" s="4" t="s">
        <v>9</v>
      </c>
      <c r="C21" s="4" t="s">
        <v>51</v>
      </c>
      <c r="D21" s="5" t="s">
        <v>52</v>
      </c>
      <c r="E21" s="5" t="s">
        <v>53</v>
      </c>
      <c r="F21" s="3">
        <f t="shared" si="0"/>
        <v>4</v>
      </c>
      <c r="G21" s="3">
        <f t="shared" si="1"/>
        <v>3</v>
      </c>
      <c r="H21" s="6" t="s">
        <v>13</v>
      </c>
      <c r="I21" s="3"/>
    </row>
    <row r="22" spans="1:9" ht="109">
      <c r="A22" s="3">
        <v>21</v>
      </c>
      <c r="B22" s="4" t="s">
        <v>9</v>
      </c>
      <c r="C22" s="4" t="s">
        <v>51</v>
      </c>
      <c r="D22" s="5" t="s">
        <v>54</v>
      </c>
      <c r="E22" s="5" t="s">
        <v>470</v>
      </c>
      <c r="F22" s="3">
        <f t="shared" si="0"/>
        <v>7</v>
      </c>
      <c r="G22" s="3">
        <f t="shared" si="1"/>
        <v>6</v>
      </c>
      <c r="H22" s="6" t="s">
        <v>13</v>
      </c>
      <c r="I22" s="3"/>
    </row>
    <row r="23" spans="1:9" ht="94">
      <c r="A23" s="3">
        <v>22</v>
      </c>
      <c r="B23" s="4" t="s">
        <v>9</v>
      </c>
      <c r="C23" s="4" t="s">
        <v>51</v>
      </c>
      <c r="D23" s="5" t="s">
        <v>55</v>
      </c>
      <c r="E23" s="5" t="s">
        <v>56</v>
      </c>
      <c r="F23" s="3">
        <f t="shared" si="0"/>
        <v>6</v>
      </c>
      <c r="G23" s="3">
        <f t="shared" si="1"/>
        <v>5</v>
      </c>
      <c r="H23" s="6" t="s">
        <v>13</v>
      </c>
      <c r="I23" s="3"/>
    </row>
    <row r="24" spans="1:9" ht="57">
      <c r="A24" s="3">
        <v>23</v>
      </c>
      <c r="B24" s="8" t="s">
        <v>57</v>
      </c>
      <c r="C24" s="8" t="s">
        <v>58</v>
      </c>
      <c r="D24" s="5" t="s">
        <v>59</v>
      </c>
      <c r="E24" s="5" t="s">
        <v>60</v>
      </c>
      <c r="F24" s="3">
        <f t="shared" si="0"/>
        <v>3</v>
      </c>
      <c r="G24" s="3">
        <f t="shared" si="1"/>
        <v>3</v>
      </c>
      <c r="H24" s="6" t="s">
        <v>13</v>
      </c>
      <c r="I24" s="3"/>
    </row>
    <row r="25" spans="1:9" ht="79">
      <c r="A25" s="3">
        <v>24</v>
      </c>
      <c r="B25" s="8" t="s">
        <v>57</v>
      </c>
      <c r="C25" s="8" t="s">
        <v>58</v>
      </c>
      <c r="D25" s="5" t="s">
        <v>61</v>
      </c>
      <c r="E25" s="5" t="s">
        <v>62</v>
      </c>
      <c r="F25" s="3">
        <f t="shared" si="0"/>
        <v>5</v>
      </c>
      <c r="G25" s="3">
        <f t="shared" si="1"/>
        <v>4</v>
      </c>
      <c r="H25" s="6" t="s">
        <v>13</v>
      </c>
      <c r="I25" s="3"/>
    </row>
    <row r="26" spans="1:9" ht="113">
      <c r="A26" s="3">
        <v>25</v>
      </c>
      <c r="B26" s="8" t="s">
        <v>57</v>
      </c>
      <c r="C26" s="8" t="s">
        <v>58</v>
      </c>
      <c r="D26" s="5" t="s">
        <v>63</v>
      </c>
      <c r="E26" s="5" t="s">
        <v>64</v>
      </c>
      <c r="F26" s="3">
        <f t="shared" si="0"/>
        <v>7</v>
      </c>
      <c r="G26" s="3">
        <f t="shared" si="1"/>
        <v>6</v>
      </c>
      <c r="H26" s="6" t="s">
        <v>13</v>
      </c>
      <c r="I26" s="3"/>
    </row>
    <row r="27" spans="1:9" ht="49">
      <c r="A27" s="3">
        <v>26</v>
      </c>
      <c r="B27" s="8" t="s">
        <v>57</v>
      </c>
      <c r="C27" s="8" t="s">
        <v>58</v>
      </c>
      <c r="D27" s="5" t="s">
        <v>65</v>
      </c>
      <c r="E27" s="5" t="s">
        <v>471</v>
      </c>
      <c r="F27" s="3">
        <f t="shared" si="0"/>
        <v>3</v>
      </c>
      <c r="G27" s="3">
        <f t="shared" si="1"/>
        <v>3</v>
      </c>
      <c r="H27" s="6" t="s">
        <v>13</v>
      </c>
      <c r="I27" s="3">
        <v>0</v>
      </c>
    </row>
    <row r="28" spans="1:9" ht="64">
      <c r="A28" s="3">
        <v>27</v>
      </c>
      <c r="B28" s="8" t="s">
        <v>57</v>
      </c>
      <c r="C28" s="8" t="s">
        <v>66</v>
      </c>
      <c r="D28" s="5" t="s">
        <v>67</v>
      </c>
      <c r="E28" s="5" t="s">
        <v>472</v>
      </c>
      <c r="F28" s="3">
        <f t="shared" si="0"/>
        <v>4</v>
      </c>
      <c r="G28" s="3">
        <f t="shared" si="1"/>
        <v>3</v>
      </c>
      <c r="H28" s="6" t="s">
        <v>13</v>
      </c>
      <c r="I28" s="3">
        <v>0</v>
      </c>
    </row>
    <row r="29" spans="1:9" ht="76">
      <c r="A29" s="3">
        <v>28</v>
      </c>
      <c r="B29" s="8" t="s">
        <v>57</v>
      </c>
      <c r="C29" s="8" t="s">
        <v>68</v>
      </c>
      <c r="D29" s="5" t="s">
        <v>69</v>
      </c>
      <c r="E29" s="5" t="s">
        <v>70</v>
      </c>
      <c r="F29" s="3">
        <f t="shared" si="0"/>
        <v>4</v>
      </c>
      <c r="G29" s="3">
        <f t="shared" si="1"/>
        <v>3</v>
      </c>
      <c r="H29" s="6" t="s">
        <v>13</v>
      </c>
      <c r="I29" s="3"/>
    </row>
    <row r="30" spans="1:9" ht="57">
      <c r="A30" s="3">
        <v>29</v>
      </c>
      <c r="B30" s="8" t="s">
        <v>57</v>
      </c>
      <c r="C30" s="8" t="s">
        <v>68</v>
      </c>
      <c r="D30" s="5" t="s">
        <v>71</v>
      </c>
      <c r="E30" s="5" t="s">
        <v>72</v>
      </c>
      <c r="F30" s="3">
        <f t="shared" si="0"/>
        <v>3</v>
      </c>
      <c r="G30" s="3">
        <f t="shared" si="1"/>
        <v>3</v>
      </c>
      <c r="H30" s="6" t="s">
        <v>13</v>
      </c>
      <c r="I30" s="3"/>
    </row>
    <row r="31" spans="1:9" ht="87">
      <c r="A31" s="3">
        <v>30</v>
      </c>
      <c r="B31" s="8" t="s">
        <v>57</v>
      </c>
      <c r="C31" s="8" t="s">
        <v>68</v>
      </c>
      <c r="D31" s="5" t="s">
        <v>73</v>
      </c>
      <c r="E31" s="5" t="s">
        <v>74</v>
      </c>
      <c r="F31" s="3">
        <f t="shared" si="0"/>
        <v>5</v>
      </c>
      <c r="G31" s="3">
        <f t="shared" si="1"/>
        <v>4</v>
      </c>
      <c r="H31" s="6" t="s">
        <v>13</v>
      </c>
      <c r="I31" s="3"/>
    </row>
    <row r="32" spans="1:9" ht="87">
      <c r="A32" s="3">
        <v>31</v>
      </c>
      <c r="B32" s="8" t="s">
        <v>57</v>
      </c>
      <c r="C32" s="8" t="s">
        <v>75</v>
      </c>
      <c r="D32" s="5" t="s">
        <v>76</v>
      </c>
      <c r="E32" s="5" t="s">
        <v>77</v>
      </c>
      <c r="F32" s="3">
        <f t="shared" si="0"/>
        <v>5</v>
      </c>
      <c r="G32" s="3">
        <f t="shared" si="1"/>
        <v>4</v>
      </c>
      <c r="H32" s="6" t="s">
        <v>13</v>
      </c>
      <c r="I32" s="3"/>
    </row>
    <row r="33" spans="1:9" ht="98">
      <c r="A33" s="3">
        <v>32</v>
      </c>
      <c r="B33" s="8" t="s">
        <v>57</v>
      </c>
      <c r="C33" s="8" t="s">
        <v>75</v>
      </c>
      <c r="D33" s="5" t="s">
        <v>78</v>
      </c>
      <c r="E33" s="5" t="s">
        <v>473</v>
      </c>
      <c r="F33" s="3">
        <f t="shared" si="0"/>
        <v>6</v>
      </c>
      <c r="G33" s="3">
        <f t="shared" si="1"/>
        <v>5</v>
      </c>
      <c r="H33" s="6" t="s">
        <v>13</v>
      </c>
      <c r="I33" s="3"/>
    </row>
    <row r="34" spans="1:9" ht="68">
      <c r="A34" s="3">
        <v>33</v>
      </c>
      <c r="B34" s="8" t="s">
        <v>57</v>
      </c>
      <c r="C34" s="8" t="s">
        <v>79</v>
      </c>
      <c r="D34" s="5" t="s">
        <v>80</v>
      </c>
      <c r="E34" s="5" t="s">
        <v>81</v>
      </c>
      <c r="F34" s="3">
        <f t="shared" si="0"/>
        <v>4</v>
      </c>
      <c r="G34" s="3">
        <f t="shared" si="1"/>
        <v>3</v>
      </c>
      <c r="H34" s="6" t="s">
        <v>13</v>
      </c>
      <c r="I34" s="3"/>
    </row>
    <row r="35" spans="1:9" ht="68">
      <c r="A35" s="3">
        <v>34</v>
      </c>
      <c r="B35" s="8" t="s">
        <v>57</v>
      </c>
      <c r="C35" s="8" t="s">
        <v>79</v>
      </c>
      <c r="D35" s="5" t="s">
        <v>82</v>
      </c>
      <c r="E35" s="5" t="s">
        <v>474</v>
      </c>
      <c r="F35" s="3">
        <f t="shared" si="0"/>
        <v>4</v>
      </c>
      <c r="G35" s="3">
        <f t="shared" si="1"/>
        <v>3</v>
      </c>
      <c r="H35" s="6" t="s">
        <v>13</v>
      </c>
      <c r="I35" s="3"/>
    </row>
    <row r="36" spans="1:9" ht="64">
      <c r="A36" s="3">
        <v>35</v>
      </c>
      <c r="B36" s="8" t="s">
        <v>57</v>
      </c>
      <c r="C36" s="8" t="s">
        <v>79</v>
      </c>
      <c r="D36" s="5" t="s">
        <v>83</v>
      </c>
      <c r="E36" s="5" t="s">
        <v>475</v>
      </c>
      <c r="F36" s="3">
        <f t="shared" si="0"/>
        <v>4</v>
      </c>
      <c r="G36" s="3">
        <f t="shared" si="1"/>
        <v>3</v>
      </c>
      <c r="H36" s="6" t="s">
        <v>13</v>
      </c>
      <c r="I36" s="3">
        <v>0</v>
      </c>
    </row>
    <row r="37" spans="1:9" ht="76">
      <c r="A37" s="3">
        <v>36</v>
      </c>
      <c r="B37" s="8" t="s">
        <v>57</v>
      </c>
      <c r="C37" s="8" t="s">
        <v>79</v>
      </c>
      <c r="D37" s="5" t="s">
        <v>84</v>
      </c>
      <c r="E37" s="5" t="s">
        <v>85</v>
      </c>
      <c r="F37" s="3">
        <f t="shared" si="0"/>
        <v>4</v>
      </c>
      <c r="G37" s="3">
        <f t="shared" si="1"/>
        <v>3</v>
      </c>
      <c r="H37" s="6" t="s">
        <v>13</v>
      </c>
      <c r="I37" s="3">
        <v>0</v>
      </c>
    </row>
    <row r="38" spans="1:9" ht="49">
      <c r="A38" s="3">
        <v>37</v>
      </c>
      <c r="B38" s="8" t="s">
        <v>57</v>
      </c>
      <c r="C38" s="8" t="s">
        <v>86</v>
      </c>
      <c r="D38" s="5" t="s">
        <v>476</v>
      </c>
      <c r="E38" s="5" t="s">
        <v>477</v>
      </c>
      <c r="F38" s="3">
        <f t="shared" si="0"/>
        <v>3</v>
      </c>
      <c r="G38" s="3">
        <f t="shared" si="1"/>
        <v>3</v>
      </c>
      <c r="H38" s="6" t="s">
        <v>13</v>
      </c>
      <c r="I38" s="3"/>
    </row>
    <row r="39" spans="1:9" ht="83">
      <c r="A39" s="3">
        <v>38</v>
      </c>
      <c r="B39" s="8" t="s">
        <v>57</v>
      </c>
      <c r="C39" s="8" t="s">
        <v>87</v>
      </c>
      <c r="D39" s="5" t="s">
        <v>478</v>
      </c>
      <c r="E39" s="5" t="s">
        <v>479</v>
      </c>
      <c r="F39" s="3">
        <f t="shared" si="0"/>
        <v>5</v>
      </c>
      <c r="G39" s="3">
        <f t="shared" si="1"/>
        <v>4</v>
      </c>
      <c r="H39" s="6" t="s">
        <v>13</v>
      </c>
      <c r="I39" s="3"/>
    </row>
    <row r="40" spans="1:9" ht="79">
      <c r="A40" s="3">
        <v>39</v>
      </c>
      <c r="B40" s="8" t="s">
        <v>57</v>
      </c>
      <c r="C40" s="8" t="s">
        <v>87</v>
      </c>
      <c r="D40" s="5" t="s">
        <v>88</v>
      </c>
      <c r="E40" s="5" t="s">
        <v>89</v>
      </c>
      <c r="F40" s="3">
        <f t="shared" si="0"/>
        <v>5</v>
      </c>
      <c r="G40" s="3">
        <f t="shared" si="1"/>
        <v>4</v>
      </c>
      <c r="H40" s="6" t="s">
        <v>13</v>
      </c>
      <c r="I40" s="3">
        <v>0</v>
      </c>
    </row>
    <row r="41" spans="1:9" ht="19">
      <c r="A41" s="3">
        <v>40</v>
      </c>
      <c r="B41" s="8" t="s">
        <v>57</v>
      </c>
      <c r="C41" s="9" t="s">
        <v>90</v>
      </c>
      <c r="D41" s="5" t="s">
        <v>480</v>
      </c>
      <c r="E41" s="5" t="s">
        <v>481</v>
      </c>
      <c r="F41" s="3">
        <f t="shared" si="0"/>
        <v>1</v>
      </c>
      <c r="G41" s="3">
        <f t="shared" si="1"/>
        <v>1</v>
      </c>
      <c r="H41" s="6" t="s">
        <v>13</v>
      </c>
      <c r="I41" s="3">
        <v>0</v>
      </c>
    </row>
    <row r="42" spans="1:9" ht="83">
      <c r="A42" s="3">
        <v>41</v>
      </c>
      <c r="B42" s="8" t="s">
        <v>57</v>
      </c>
      <c r="C42" s="8" t="s">
        <v>91</v>
      </c>
      <c r="D42" s="5" t="s">
        <v>92</v>
      </c>
      <c r="E42" s="5" t="s">
        <v>93</v>
      </c>
      <c r="F42" s="3">
        <f t="shared" si="0"/>
        <v>5</v>
      </c>
      <c r="G42" s="3">
        <f t="shared" si="1"/>
        <v>4</v>
      </c>
      <c r="H42" s="6" t="s">
        <v>13</v>
      </c>
      <c r="I42" s="3"/>
    </row>
    <row r="43" spans="1:9" ht="68">
      <c r="A43" s="3">
        <v>42</v>
      </c>
      <c r="B43" s="8" t="s">
        <v>57</v>
      </c>
      <c r="C43" s="8" t="s">
        <v>94</v>
      </c>
      <c r="D43" s="5" t="s">
        <v>95</v>
      </c>
      <c r="E43" s="5" t="s">
        <v>96</v>
      </c>
      <c r="F43" s="3">
        <f t="shared" si="0"/>
        <v>4</v>
      </c>
      <c r="G43" s="3">
        <f t="shared" si="1"/>
        <v>3</v>
      </c>
      <c r="H43" s="6" t="s">
        <v>13</v>
      </c>
      <c r="I43" s="3"/>
    </row>
    <row r="44" spans="1:9" ht="49">
      <c r="A44" s="3">
        <v>43</v>
      </c>
      <c r="B44" s="8" t="s">
        <v>57</v>
      </c>
      <c r="C44" s="8" t="s">
        <v>94</v>
      </c>
      <c r="D44" s="7" t="s">
        <v>97</v>
      </c>
      <c r="E44" s="5" t="s">
        <v>98</v>
      </c>
      <c r="F44" s="3">
        <f t="shared" si="0"/>
        <v>2</v>
      </c>
      <c r="G44" s="3">
        <f t="shared" si="1"/>
        <v>2</v>
      </c>
      <c r="H44" s="6" t="s">
        <v>13</v>
      </c>
      <c r="I44" s="3"/>
    </row>
    <row r="45" spans="1:9" ht="76">
      <c r="A45" s="3">
        <v>44</v>
      </c>
      <c r="B45" s="8" t="s">
        <v>57</v>
      </c>
      <c r="C45" s="8" t="s">
        <v>99</v>
      </c>
      <c r="D45" s="7" t="s">
        <v>100</v>
      </c>
      <c r="E45" s="5" t="s">
        <v>482</v>
      </c>
      <c r="F45" s="3">
        <f t="shared" si="0"/>
        <v>4</v>
      </c>
      <c r="G45" s="3">
        <f t="shared" si="1"/>
        <v>3</v>
      </c>
      <c r="H45" s="6" t="s">
        <v>13</v>
      </c>
      <c r="I45" s="3"/>
    </row>
    <row r="46" spans="1:9" ht="109">
      <c r="A46" s="3">
        <v>45</v>
      </c>
      <c r="B46" s="8" t="s">
        <v>57</v>
      </c>
      <c r="C46" s="8" t="s">
        <v>99</v>
      </c>
      <c r="D46" s="7" t="s">
        <v>101</v>
      </c>
      <c r="E46" s="5" t="s">
        <v>102</v>
      </c>
      <c r="F46" s="3">
        <f t="shared" si="0"/>
        <v>7</v>
      </c>
      <c r="G46" s="3">
        <f t="shared" si="1"/>
        <v>6</v>
      </c>
      <c r="H46" s="6" t="s">
        <v>13</v>
      </c>
      <c r="I46" s="3"/>
    </row>
    <row r="47" spans="1:9" ht="38">
      <c r="A47" s="3">
        <v>46</v>
      </c>
      <c r="B47" s="8" t="s">
        <v>57</v>
      </c>
      <c r="C47" s="8" t="s">
        <v>103</v>
      </c>
      <c r="D47" s="5" t="s">
        <v>555</v>
      </c>
      <c r="E47" s="5" t="s">
        <v>104</v>
      </c>
      <c r="F47" s="3">
        <f t="shared" si="0"/>
        <v>2</v>
      </c>
      <c r="G47" s="3">
        <f t="shared" si="1"/>
        <v>2</v>
      </c>
      <c r="H47" s="6" t="s">
        <v>13</v>
      </c>
      <c r="I47" s="3"/>
    </row>
    <row r="48" spans="1:9" ht="68">
      <c r="A48" s="3">
        <v>47</v>
      </c>
      <c r="B48" s="8" t="s">
        <v>57</v>
      </c>
      <c r="C48" s="8" t="s">
        <v>103</v>
      </c>
      <c r="D48" s="5" t="s">
        <v>105</v>
      </c>
      <c r="E48" s="5" t="s">
        <v>106</v>
      </c>
      <c r="F48" s="3">
        <f t="shared" si="0"/>
        <v>4</v>
      </c>
      <c r="G48" s="3">
        <f t="shared" si="1"/>
        <v>3</v>
      </c>
      <c r="H48" s="6" t="s">
        <v>13</v>
      </c>
      <c r="I48" s="3">
        <v>0</v>
      </c>
    </row>
    <row r="49" spans="1:9" ht="94">
      <c r="A49" s="3">
        <v>48</v>
      </c>
      <c r="B49" s="8" t="s">
        <v>57</v>
      </c>
      <c r="C49" s="8" t="s">
        <v>103</v>
      </c>
      <c r="D49" s="5" t="s">
        <v>107</v>
      </c>
      <c r="E49" s="5" t="s">
        <v>108</v>
      </c>
      <c r="F49" s="3">
        <f t="shared" si="0"/>
        <v>5</v>
      </c>
      <c r="G49" s="3">
        <f t="shared" si="1"/>
        <v>4</v>
      </c>
      <c r="H49" s="6" t="s">
        <v>13</v>
      </c>
      <c r="I49" s="3"/>
    </row>
    <row r="50" spans="1:9" ht="49">
      <c r="A50" s="3">
        <v>49</v>
      </c>
      <c r="B50" s="8" t="s">
        <v>57</v>
      </c>
      <c r="C50" s="8" t="s">
        <v>109</v>
      </c>
      <c r="D50" s="5" t="s">
        <v>110</v>
      </c>
      <c r="E50" s="5" t="s">
        <v>483</v>
      </c>
      <c r="F50" s="3">
        <f t="shared" si="0"/>
        <v>3</v>
      </c>
      <c r="G50" s="3">
        <f t="shared" si="1"/>
        <v>3</v>
      </c>
      <c r="H50" s="6" t="s">
        <v>13</v>
      </c>
      <c r="I50" s="3">
        <v>0</v>
      </c>
    </row>
    <row r="51" spans="1:9" ht="68">
      <c r="A51" s="3">
        <v>50</v>
      </c>
      <c r="B51" s="8" t="s">
        <v>57</v>
      </c>
      <c r="C51" s="8" t="s">
        <v>109</v>
      </c>
      <c r="D51" s="5" t="s">
        <v>111</v>
      </c>
      <c r="E51" s="5" t="s">
        <v>112</v>
      </c>
      <c r="F51" s="3">
        <f t="shared" si="0"/>
        <v>4</v>
      </c>
      <c r="G51" s="3">
        <f t="shared" si="1"/>
        <v>3</v>
      </c>
      <c r="H51" s="6" t="s">
        <v>13</v>
      </c>
      <c r="I51" s="3">
        <v>0</v>
      </c>
    </row>
    <row r="52" spans="1:9" ht="60">
      <c r="A52" s="3">
        <v>51</v>
      </c>
      <c r="B52" s="8" t="s">
        <v>57</v>
      </c>
      <c r="C52" s="8" t="s">
        <v>109</v>
      </c>
      <c r="D52" s="5" t="s">
        <v>113</v>
      </c>
      <c r="E52" s="5" t="s">
        <v>484</v>
      </c>
      <c r="F52" s="3">
        <f t="shared" si="0"/>
        <v>4</v>
      </c>
      <c r="G52" s="3">
        <f t="shared" si="1"/>
        <v>3</v>
      </c>
      <c r="H52" s="6" t="s">
        <v>13</v>
      </c>
      <c r="I52" s="3"/>
    </row>
    <row r="53" spans="1:9" ht="64">
      <c r="A53" s="3">
        <v>52</v>
      </c>
      <c r="B53" s="8" t="s">
        <v>57</v>
      </c>
      <c r="C53" s="8" t="s">
        <v>109</v>
      </c>
      <c r="D53" s="5" t="s">
        <v>114</v>
      </c>
      <c r="E53" s="5" t="s">
        <v>485</v>
      </c>
      <c r="F53" s="3">
        <f t="shared" si="0"/>
        <v>4</v>
      </c>
      <c r="G53" s="3">
        <f t="shared" si="1"/>
        <v>3</v>
      </c>
      <c r="H53" s="6" t="s">
        <v>13</v>
      </c>
      <c r="I53" s="3">
        <v>0</v>
      </c>
    </row>
    <row r="54" spans="1:9" ht="102">
      <c r="A54" s="3">
        <v>53</v>
      </c>
      <c r="B54" s="8" t="s">
        <v>57</v>
      </c>
      <c r="C54" s="8" t="s">
        <v>109</v>
      </c>
      <c r="D54" s="5" t="s">
        <v>115</v>
      </c>
      <c r="E54" s="5" t="s">
        <v>486</v>
      </c>
      <c r="F54" s="3">
        <f t="shared" si="0"/>
        <v>6</v>
      </c>
      <c r="G54" s="3">
        <f t="shared" si="1"/>
        <v>5</v>
      </c>
      <c r="H54" s="6" t="s">
        <v>13</v>
      </c>
      <c r="I54" s="3">
        <v>0</v>
      </c>
    </row>
    <row r="55" spans="1:9" ht="132">
      <c r="A55" s="3">
        <v>54</v>
      </c>
      <c r="B55" s="8" t="s">
        <v>57</v>
      </c>
      <c r="C55" s="8" t="s">
        <v>109</v>
      </c>
      <c r="D55" s="5" t="s">
        <v>116</v>
      </c>
      <c r="E55" s="5" t="s">
        <v>117</v>
      </c>
      <c r="F55" s="3">
        <f t="shared" si="0"/>
        <v>8</v>
      </c>
      <c r="G55" s="3">
        <f t="shared" si="1"/>
        <v>6</v>
      </c>
      <c r="H55" s="6" t="s">
        <v>13</v>
      </c>
      <c r="I55" s="3"/>
    </row>
    <row r="56" spans="1:9" ht="109">
      <c r="A56" s="3">
        <v>55</v>
      </c>
      <c r="B56" s="10" t="s">
        <v>118</v>
      </c>
      <c r="C56" s="10" t="s">
        <v>119</v>
      </c>
      <c r="D56" s="5" t="s">
        <v>120</v>
      </c>
      <c r="E56" s="5" t="s">
        <v>121</v>
      </c>
      <c r="F56" s="3">
        <f t="shared" si="0"/>
        <v>7</v>
      </c>
      <c r="G56" s="3">
        <f t="shared" si="1"/>
        <v>6</v>
      </c>
      <c r="H56" s="6" t="s">
        <v>13</v>
      </c>
      <c r="I56" s="3"/>
    </row>
    <row r="57" spans="1:9" ht="117">
      <c r="A57" s="3">
        <v>56</v>
      </c>
      <c r="B57" s="10" t="s">
        <v>118</v>
      </c>
      <c r="C57" s="10" t="s">
        <v>119</v>
      </c>
      <c r="D57" s="5" t="s">
        <v>122</v>
      </c>
      <c r="E57" s="5" t="s">
        <v>123</v>
      </c>
      <c r="F57" s="3">
        <f t="shared" si="0"/>
        <v>7</v>
      </c>
      <c r="G57" s="3">
        <f t="shared" si="1"/>
        <v>6</v>
      </c>
      <c r="H57" s="6" t="s">
        <v>13</v>
      </c>
      <c r="I57" s="3"/>
    </row>
    <row r="58" spans="1:9" ht="72">
      <c r="A58" s="3">
        <v>57</v>
      </c>
      <c r="B58" s="10" t="s">
        <v>118</v>
      </c>
      <c r="C58" s="10" t="s">
        <v>124</v>
      </c>
      <c r="D58" s="5" t="s">
        <v>488</v>
      </c>
      <c r="E58" s="5" t="s">
        <v>487</v>
      </c>
      <c r="F58" s="3">
        <f t="shared" si="0"/>
        <v>4</v>
      </c>
      <c r="G58" s="3">
        <f t="shared" si="1"/>
        <v>3</v>
      </c>
      <c r="H58" s="6" t="s">
        <v>13</v>
      </c>
      <c r="I58" s="3"/>
    </row>
    <row r="59" spans="1:9" ht="109">
      <c r="A59" s="3">
        <v>58</v>
      </c>
      <c r="B59" s="10" t="s">
        <v>118</v>
      </c>
      <c r="C59" s="10" t="s">
        <v>124</v>
      </c>
      <c r="D59" s="5" t="s">
        <v>125</v>
      </c>
      <c r="E59" s="5" t="s">
        <v>489</v>
      </c>
      <c r="F59" s="3">
        <f t="shared" si="0"/>
        <v>7</v>
      </c>
      <c r="G59" s="3">
        <f t="shared" si="1"/>
        <v>6</v>
      </c>
      <c r="H59" s="6" t="s">
        <v>13</v>
      </c>
      <c r="I59" s="3"/>
    </row>
    <row r="60" spans="1:9" ht="94">
      <c r="A60" s="3">
        <v>59</v>
      </c>
      <c r="B60" s="10" t="s">
        <v>118</v>
      </c>
      <c r="C60" s="10" t="s">
        <v>124</v>
      </c>
      <c r="D60" s="5" t="s">
        <v>126</v>
      </c>
      <c r="E60" s="5" t="s">
        <v>490</v>
      </c>
      <c r="F60" s="3">
        <f t="shared" ref="F60:F121" si="2">IF(E60="",0,LEN(E60)-LEN(SUBSTITUTE(E60,CHAR(10),""))+1)</f>
        <v>6</v>
      </c>
      <c r="G60" s="3">
        <f t="shared" ref="G60:G121" si="3">MAX(1,ROUNDUP(F60*0.75,0))</f>
        <v>5</v>
      </c>
      <c r="H60" s="6" t="s">
        <v>13</v>
      </c>
      <c r="I60" s="3"/>
    </row>
    <row r="61" spans="1:9" ht="120">
      <c r="A61" s="3">
        <v>60</v>
      </c>
      <c r="B61" s="10" t="s">
        <v>118</v>
      </c>
      <c r="C61" s="10" t="s">
        <v>127</v>
      </c>
      <c r="D61" s="5" t="s">
        <v>128</v>
      </c>
      <c r="E61" s="5" t="s">
        <v>129</v>
      </c>
      <c r="F61" s="3">
        <f t="shared" si="2"/>
        <v>8</v>
      </c>
      <c r="G61" s="3">
        <f t="shared" si="3"/>
        <v>6</v>
      </c>
      <c r="H61" s="6" t="s">
        <v>13</v>
      </c>
      <c r="I61" s="3"/>
    </row>
    <row r="62" spans="1:9" ht="49">
      <c r="A62" s="3">
        <v>61</v>
      </c>
      <c r="B62" s="10" t="s">
        <v>118</v>
      </c>
      <c r="C62" s="10" t="s">
        <v>127</v>
      </c>
      <c r="D62" s="5" t="s">
        <v>491</v>
      </c>
      <c r="E62" s="5" t="s">
        <v>492</v>
      </c>
      <c r="F62" s="3">
        <f t="shared" si="2"/>
        <v>3</v>
      </c>
      <c r="G62" s="3">
        <f t="shared" si="3"/>
        <v>3</v>
      </c>
      <c r="H62" s="6" t="s">
        <v>13</v>
      </c>
      <c r="I62" s="3"/>
    </row>
    <row r="63" spans="1:9" ht="158">
      <c r="A63" s="3">
        <v>62</v>
      </c>
      <c r="B63" s="10" t="s">
        <v>118</v>
      </c>
      <c r="C63" s="10" t="s">
        <v>127</v>
      </c>
      <c r="D63" s="5" t="s">
        <v>130</v>
      </c>
      <c r="E63" s="5" t="s">
        <v>131</v>
      </c>
      <c r="F63" s="3">
        <f t="shared" si="2"/>
        <v>10</v>
      </c>
      <c r="G63" s="3">
        <f t="shared" si="3"/>
        <v>8</v>
      </c>
      <c r="H63" s="6" t="s">
        <v>13</v>
      </c>
      <c r="I63" s="3"/>
    </row>
    <row r="64" spans="1:9" ht="98">
      <c r="A64" s="3">
        <v>63</v>
      </c>
      <c r="B64" s="10" t="s">
        <v>118</v>
      </c>
      <c r="C64" s="10" t="s">
        <v>127</v>
      </c>
      <c r="D64" s="5" t="s">
        <v>132</v>
      </c>
      <c r="E64" s="5" t="s">
        <v>493</v>
      </c>
      <c r="F64" s="3">
        <f t="shared" si="2"/>
        <v>6</v>
      </c>
      <c r="G64" s="3">
        <f t="shared" si="3"/>
        <v>5</v>
      </c>
      <c r="H64" s="6" t="s">
        <v>13</v>
      </c>
      <c r="I64" s="3"/>
    </row>
    <row r="65" spans="1:9" ht="110">
      <c r="A65" s="3">
        <v>64</v>
      </c>
      <c r="B65" s="10" t="s">
        <v>118</v>
      </c>
      <c r="C65" s="10" t="s">
        <v>133</v>
      </c>
      <c r="D65" s="5" t="s">
        <v>134</v>
      </c>
      <c r="E65" s="5" t="s">
        <v>135</v>
      </c>
      <c r="F65" s="3">
        <f t="shared" si="2"/>
        <v>6</v>
      </c>
      <c r="G65" s="3">
        <f t="shared" si="3"/>
        <v>5</v>
      </c>
      <c r="H65" s="6" t="s">
        <v>13</v>
      </c>
      <c r="I65" s="3"/>
    </row>
    <row r="66" spans="1:9" ht="30">
      <c r="A66" s="3">
        <v>65</v>
      </c>
      <c r="B66" s="10" t="s">
        <v>118</v>
      </c>
      <c r="C66" s="10" t="s">
        <v>133</v>
      </c>
      <c r="D66" s="7" t="s">
        <v>136</v>
      </c>
      <c r="E66" s="5" t="s">
        <v>137</v>
      </c>
      <c r="F66" s="3">
        <f t="shared" si="2"/>
        <v>2</v>
      </c>
      <c r="G66" s="3">
        <f t="shared" si="3"/>
        <v>2</v>
      </c>
      <c r="H66" s="6" t="s">
        <v>13</v>
      </c>
      <c r="I66" s="3"/>
    </row>
    <row r="67" spans="1:9" ht="83">
      <c r="A67" s="3">
        <v>66</v>
      </c>
      <c r="B67" s="10" t="s">
        <v>118</v>
      </c>
      <c r="C67" s="10" t="s">
        <v>133</v>
      </c>
      <c r="D67" s="5" t="s">
        <v>138</v>
      </c>
      <c r="E67" s="5" t="s">
        <v>139</v>
      </c>
      <c r="F67" s="3">
        <f t="shared" si="2"/>
        <v>5</v>
      </c>
      <c r="G67" s="3">
        <f t="shared" si="3"/>
        <v>4</v>
      </c>
      <c r="H67" s="6" t="s">
        <v>13</v>
      </c>
      <c r="I67" s="3">
        <v>0</v>
      </c>
    </row>
    <row r="68" spans="1:9" ht="68">
      <c r="A68" s="3">
        <v>67</v>
      </c>
      <c r="B68" s="10" t="s">
        <v>118</v>
      </c>
      <c r="C68" s="10" t="s">
        <v>133</v>
      </c>
      <c r="D68" s="7" t="s">
        <v>494</v>
      </c>
      <c r="E68" s="5" t="s">
        <v>495</v>
      </c>
      <c r="F68" s="3">
        <f t="shared" si="2"/>
        <v>2</v>
      </c>
      <c r="G68" s="3">
        <f t="shared" si="3"/>
        <v>2</v>
      </c>
      <c r="H68" s="6" t="s">
        <v>13</v>
      </c>
      <c r="I68" s="3"/>
    </row>
    <row r="69" spans="1:9" ht="64">
      <c r="A69" s="3">
        <v>68</v>
      </c>
      <c r="B69" s="10" t="s">
        <v>118</v>
      </c>
      <c r="C69" s="10" t="s">
        <v>133</v>
      </c>
      <c r="D69" s="7" t="s">
        <v>140</v>
      </c>
      <c r="E69" s="5" t="s">
        <v>496</v>
      </c>
      <c r="F69" s="3">
        <f t="shared" si="2"/>
        <v>4</v>
      </c>
      <c r="G69" s="3">
        <f t="shared" si="3"/>
        <v>3</v>
      </c>
      <c r="H69" s="6" t="s">
        <v>13</v>
      </c>
      <c r="I69" s="3"/>
    </row>
    <row r="70" spans="1:9" ht="94">
      <c r="A70" s="3">
        <v>69</v>
      </c>
      <c r="B70" s="10" t="s">
        <v>118</v>
      </c>
      <c r="C70" s="10" t="s">
        <v>141</v>
      </c>
      <c r="D70" s="5" t="s">
        <v>142</v>
      </c>
      <c r="E70" s="5" t="s">
        <v>143</v>
      </c>
      <c r="F70" s="3">
        <f t="shared" si="2"/>
        <v>6</v>
      </c>
      <c r="G70" s="3">
        <f t="shared" si="3"/>
        <v>5</v>
      </c>
      <c r="H70" s="6" t="s">
        <v>13</v>
      </c>
      <c r="I70" s="3"/>
    </row>
    <row r="71" spans="1:9" ht="79">
      <c r="A71" s="3">
        <v>70</v>
      </c>
      <c r="B71" s="10" t="s">
        <v>118</v>
      </c>
      <c r="C71" s="10" t="s">
        <v>141</v>
      </c>
      <c r="D71" s="5" t="s">
        <v>144</v>
      </c>
      <c r="E71" s="5" t="s">
        <v>145</v>
      </c>
      <c r="F71" s="3">
        <f t="shared" si="2"/>
        <v>5</v>
      </c>
      <c r="G71" s="3">
        <f t="shared" si="3"/>
        <v>4</v>
      </c>
      <c r="H71" s="6" t="s">
        <v>13</v>
      </c>
      <c r="I71" s="3"/>
    </row>
    <row r="72" spans="1:9" ht="64">
      <c r="A72" s="3">
        <v>71</v>
      </c>
      <c r="B72" s="10" t="s">
        <v>118</v>
      </c>
      <c r="C72" s="10" t="s">
        <v>146</v>
      </c>
      <c r="D72" s="5" t="s">
        <v>147</v>
      </c>
      <c r="E72" s="5" t="s">
        <v>148</v>
      </c>
      <c r="F72" s="3">
        <f t="shared" si="2"/>
        <v>4</v>
      </c>
      <c r="G72" s="3">
        <f t="shared" si="3"/>
        <v>3</v>
      </c>
      <c r="H72" s="6" t="s">
        <v>13</v>
      </c>
      <c r="I72" s="3"/>
    </row>
    <row r="73" spans="1:9" ht="49">
      <c r="A73" s="3">
        <v>72</v>
      </c>
      <c r="B73" s="10" t="s">
        <v>118</v>
      </c>
      <c r="C73" s="10" t="s">
        <v>146</v>
      </c>
      <c r="D73" s="5" t="s">
        <v>149</v>
      </c>
      <c r="E73" s="5" t="s">
        <v>497</v>
      </c>
      <c r="F73" s="3">
        <f t="shared" si="2"/>
        <v>3</v>
      </c>
      <c r="G73" s="3">
        <f t="shared" si="3"/>
        <v>3</v>
      </c>
      <c r="H73" s="6" t="s">
        <v>13</v>
      </c>
      <c r="I73" s="3"/>
    </row>
    <row r="74" spans="1:9" ht="94">
      <c r="A74" s="3">
        <v>73</v>
      </c>
      <c r="B74" s="10" t="s">
        <v>118</v>
      </c>
      <c r="C74" s="10" t="s">
        <v>127</v>
      </c>
      <c r="D74" s="5" t="s">
        <v>150</v>
      </c>
      <c r="E74" s="5" t="s">
        <v>151</v>
      </c>
      <c r="F74" s="3">
        <f t="shared" si="2"/>
        <v>6</v>
      </c>
      <c r="G74" s="3">
        <f t="shared" si="3"/>
        <v>5</v>
      </c>
      <c r="H74" s="6" t="s">
        <v>13</v>
      </c>
      <c r="I74" s="3"/>
    </row>
    <row r="75" spans="1:9" ht="124">
      <c r="A75" s="3">
        <v>74</v>
      </c>
      <c r="B75" s="10" t="s">
        <v>118</v>
      </c>
      <c r="C75" s="10" t="s">
        <v>152</v>
      </c>
      <c r="D75" s="5" t="s">
        <v>153</v>
      </c>
      <c r="E75" s="5" t="s">
        <v>154</v>
      </c>
      <c r="F75" s="3">
        <f t="shared" si="2"/>
        <v>8</v>
      </c>
      <c r="G75" s="3">
        <f t="shared" si="3"/>
        <v>6</v>
      </c>
      <c r="H75" s="6" t="s">
        <v>13</v>
      </c>
      <c r="I75" s="3"/>
    </row>
    <row r="76" spans="1:9" ht="38">
      <c r="A76" s="3">
        <v>75</v>
      </c>
      <c r="B76" s="11" t="s">
        <v>155</v>
      </c>
      <c r="C76" s="11" t="s">
        <v>156</v>
      </c>
      <c r="D76" s="5" t="s">
        <v>157</v>
      </c>
      <c r="E76" s="5" t="s">
        <v>498</v>
      </c>
      <c r="F76" s="3">
        <f t="shared" si="2"/>
        <v>2</v>
      </c>
      <c r="G76" s="3">
        <f t="shared" si="3"/>
        <v>2</v>
      </c>
      <c r="H76" s="6" t="s">
        <v>13</v>
      </c>
      <c r="I76" s="3"/>
    </row>
    <row r="77" spans="1:9" ht="79">
      <c r="A77" s="3">
        <v>76</v>
      </c>
      <c r="B77" s="11" t="s">
        <v>155</v>
      </c>
      <c r="C77" s="11" t="s">
        <v>156</v>
      </c>
      <c r="D77" s="5" t="s">
        <v>158</v>
      </c>
      <c r="E77" s="5" t="s">
        <v>159</v>
      </c>
      <c r="F77" s="3">
        <f t="shared" si="2"/>
        <v>5</v>
      </c>
      <c r="G77" s="3">
        <f t="shared" si="3"/>
        <v>4</v>
      </c>
      <c r="H77" s="6" t="s">
        <v>13</v>
      </c>
      <c r="I77" s="3"/>
    </row>
    <row r="78" spans="1:9" ht="113">
      <c r="A78" s="3">
        <v>77</v>
      </c>
      <c r="B78" s="11" t="s">
        <v>155</v>
      </c>
      <c r="C78" s="11" t="s">
        <v>160</v>
      </c>
      <c r="D78" s="5" t="s">
        <v>161</v>
      </c>
      <c r="E78" s="5" t="s">
        <v>162</v>
      </c>
      <c r="F78" s="3">
        <f t="shared" si="2"/>
        <v>7</v>
      </c>
      <c r="G78" s="3">
        <f t="shared" si="3"/>
        <v>6</v>
      </c>
      <c r="H78" s="6" t="s">
        <v>13</v>
      </c>
      <c r="I78" s="3"/>
    </row>
    <row r="79" spans="1:9" ht="113">
      <c r="A79" s="3">
        <v>78</v>
      </c>
      <c r="B79" s="11" t="s">
        <v>155</v>
      </c>
      <c r="C79" s="11" t="s">
        <v>160</v>
      </c>
      <c r="D79" s="5" t="s">
        <v>163</v>
      </c>
      <c r="E79" s="5" t="s">
        <v>164</v>
      </c>
      <c r="F79" s="3">
        <f t="shared" si="2"/>
        <v>7</v>
      </c>
      <c r="G79" s="3">
        <f t="shared" si="3"/>
        <v>6</v>
      </c>
      <c r="H79" s="6" t="s">
        <v>13</v>
      </c>
      <c r="I79" s="3"/>
    </row>
    <row r="80" spans="1:9" ht="79">
      <c r="A80" s="3">
        <v>79</v>
      </c>
      <c r="B80" s="11" t="s">
        <v>155</v>
      </c>
      <c r="C80" s="11" t="s">
        <v>165</v>
      </c>
      <c r="D80" s="5" t="s">
        <v>166</v>
      </c>
      <c r="E80" s="5" t="s">
        <v>499</v>
      </c>
      <c r="F80" s="3">
        <f t="shared" si="2"/>
        <v>5</v>
      </c>
      <c r="G80" s="3">
        <f t="shared" si="3"/>
        <v>4</v>
      </c>
      <c r="H80" s="6" t="s">
        <v>13</v>
      </c>
      <c r="I80" s="3"/>
    </row>
    <row r="81" spans="1:9" ht="75">
      <c r="A81" s="3">
        <v>80</v>
      </c>
      <c r="B81" s="11" t="s">
        <v>155</v>
      </c>
      <c r="C81" s="11" t="s">
        <v>167</v>
      </c>
      <c r="D81" s="5" t="s">
        <v>168</v>
      </c>
      <c r="E81" s="5" t="s">
        <v>500</v>
      </c>
      <c r="F81" s="3">
        <f t="shared" si="2"/>
        <v>5</v>
      </c>
      <c r="G81" s="3">
        <f t="shared" si="3"/>
        <v>4</v>
      </c>
      <c r="H81" s="6" t="s">
        <v>13</v>
      </c>
      <c r="I81" s="3"/>
    </row>
    <row r="82" spans="1:9" ht="90">
      <c r="A82" s="3">
        <v>81</v>
      </c>
      <c r="B82" s="11" t="s">
        <v>155</v>
      </c>
      <c r="C82" s="11" t="s">
        <v>169</v>
      </c>
      <c r="D82" s="5" t="s">
        <v>170</v>
      </c>
      <c r="E82" s="5" t="s">
        <v>171</v>
      </c>
      <c r="F82" s="3">
        <f t="shared" si="2"/>
        <v>6</v>
      </c>
      <c r="G82" s="3">
        <f t="shared" si="3"/>
        <v>5</v>
      </c>
      <c r="H82" s="6" t="s">
        <v>13</v>
      </c>
      <c r="I82" s="3"/>
    </row>
    <row r="83" spans="1:9" ht="60">
      <c r="A83" s="3">
        <v>82</v>
      </c>
      <c r="B83" s="11" t="s">
        <v>155</v>
      </c>
      <c r="C83" s="11" t="s">
        <v>172</v>
      </c>
      <c r="D83" s="5" t="s">
        <v>173</v>
      </c>
      <c r="E83" s="5" t="s">
        <v>501</v>
      </c>
      <c r="F83" s="3">
        <f t="shared" si="2"/>
        <v>4</v>
      </c>
      <c r="G83" s="3">
        <f t="shared" si="3"/>
        <v>3</v>
      </c>
      <c r="H83" s="6" t="s">
        <v>13</v>
      </c>
      <c r="I83" s="3"/>
    </row>
    <row r="84" spans="1:9" ht="64">
      <c r="A84" s="3">
        <v>83</v>
      </c>
      <c r="B84" s="11" t="s">
        <v>155</v>
      </c>
      <c r="C84" s="11" t="s">
        <v>174</v>
      </c>
      <c r="D84" s="5" t="s">
        <v>175</v>
      </c>
      <c r="E84" s="5" t="s">
        <v>502</v>
      </c>
      <c r="F84" s="3">
        <f t="shared" si="2"/>
        <v>4</v>
      </c>
      <c r="G84" s="3">
        <f t="shared" si="3"/>
        <v>3</v>
      </c>
      <c r="H84" s="6" t="s">
        <v>13</v>
      </c>
      <c r="I84" s="3"/>
    </row>
    <row r="85" spans="1:9" ht="94">
      <c r="A85" s="3">
        <v>84</v>
      </c>
      <c r="B85" s="11" t="s">
        <v>155</v>
      </c>
      <c r="C85" s="11" t="s">
        <v>176</v>
      </c>
      <c r="D85" s="5" t="s">
        <v>177</v>
      </c>
      <c r="E85" s="5" t="s">
        <v>503</v>
      </c>
      <c r="F85" s="3">
        <f t="shared" si="2"/>
        <v>6</v>
      </c>
      <c r="G85" s="3">
        <f t="shared" si="3"/>
        <v>5</v>
      </c>
      <c r="H85" s="6" t="s">
        <v>13</v>
      </c>
      <c r="I85" s="3"/>
    </row>
    <row r="86" spans="1:9" ht="98">
      <c r="A86" s="3">
        <v>85</v>
      </c>
      <c r="B86" s="11" t="s">
        <v>155</v>
      </c>
      <c r="C86" s="12" t="s">
        <v>178</v>
      </c>
      <c r="D86" s="7" t="s">
        <v>179</v>
      </c>
      <c r="E86" s="5" t="s">
        <v>180</v>
      </c>
      <c r="F86" s="3">
        <f t="shared" si="2"/>
        <v>6</v>
      </c>
      <c r="G86" s="3">
        <f t="shared" si="3"/>
        <v>5</v>
      </c>
      <c r="H86" s="6" t="s">
        <v>13</v>
      </c>
      <c r="I86" s="3"/>
    </row>
    <row r="87" spans="1:9" ht="83">
      <c r="A87" s="3">
        <v>86</v>
      </c>
      <c r="B87" s="11" t="s">
        <v>155</v>
      </c>
      <c r="C87" s="11" t="s">
        <v>181</v>
      </c>
      <c r="D87" s="5" t="s">
        <v>182</v>
      </c>
      <c r="E87" s="5" t="s">
        <v>504</v>
      </c>
      <c r="F87" s="3">
        <f t="shared" si="2"/>
        <v>5</v>
      </c>
      <c r="G87" s="3">
        <f t="shared" si="3"/>
        <v>4</v>
      </c>
      <c r="H87" s="6" t="s">
        <v>13</v>
      </c>
      <c r="I87" s="3"/>
    </row>
    <row r="88" spans="1:9" ht="109">
      <c r="A88" s="3">
        <v>87</v>
      </c>
      <c r="B88" s="11" t="s">
        <v>155</v>
      </c>
      <c r="C88" s="11" t="s">
        <v>183</v>
      </c>
      <c r="D88" s="5" t="s">
        <v>184</v>
      </c>
      <c r="E88" s="5" t="s">
        <v>185</v>
      </c>
      <c r="F88" s="3">
        <f t="shared" si="2"/>
        <v>7</v>
      </c>
      <c r="G88" s="3">
        <f t="shared" si="3"/>
        <v>6</v>
      </c>
      <c r="H88" s="6" t="s">
        <v>13</v>
      </c>
      <c r="I88" s="3"/>
    </row>
    <row r="89" spans="1:9" ht="132">
      <c r="A89" s="3">
        <v>88</v>
      </c>
      <c r="B89" s="11" t="s">
        <v>155</v>
      </c>
      <c r="C89" s="11" t="s">
        <v>186</v>
      </c>
      <c r="D89" s="5" t="s">
        <v>187</v>
      </c>
      <c r="E89" s="5" t="s">
        <v>505</v>
      </c>
      <c r="F89" s="3">
        <f t="shared" si="2"/>
        <v>8</v>
      </c>
      <c r="G89" s="3">
        <f t="shared" si="3"/>
        <v>6</v>
      </c>
      <c r="H89" s="6" t="s">
        <v>13</v>
      </c>
      <c r="I89" s="3"/>
    </row>
    <row r="90" spans="1:9" ht="72">
      <c r="A90" s="3">
        <v>89</v>
      </c>
      <c r="B90" s="11" t="s">
        <v>155</v>
      </c>
      <c r="C90" s="11" t="s">
        <v>188</v>
      </c>
      <c r="D90" s="5" t="s">
        <v>189</v>
      </c>
      <c r="E90" s="5" t="s">
        <v>506</v>
      </c>
      <c r="F90" s="3">
        <f t="shared" si="2"/>
        <v>4</v>
      </c>
      <c r="G90" s="3">
        <f t="shared" si="3"/>
        <v>3</v>
      </c>
      <c r="H90" s="6" t="s">
        <v>13</v>
      </c>
      <c r="I90" s="3"/>
    </row>
    <row r="91" spans="1:9" ht="83">
      <c r="A91" s="3">
        <v>90</v>
      </c>
      <c r="B91" s="11" t="s">
        <v>155</v>
      </c>
      <c r="C91" s="11" t="s">
        <v>188</v>
      </c>
      <c r="D91" s="5" t="s">
        <v>190</v>
      </c>
      <c r="E91" s="5" t="s">
        <v>191</v>
      </c>
      <c r="F91" s="3">
        <f t="shared" si="2"/>
        <v>5</v>
      </c>
      <c r="G91" s="3">
        <f t="shared" si="3"/>
        <v>4</v>
      </c>
      <c r="H91" s="6" t="s">
        <v>13</v>
      </c>
      <c r="I91" s="3"/>
    </row>
    <row r="92" spans="1:9" ht="128">
      <c r="A92" s="3">
        <v>91</v>
      </c>
      <c r="B92" s="11" t="s">
        <v>155</v>
      </c>
      <c r="C92" s="11" t="s">
        <v>192</v>
      </c>
      <c r="D92" s="5" t="s">
        <v>193</v>
      </c>
      <c r="E92" s="5" t="s">
        <v>507</v>
      </c>
      <c r="F92" s="3">
        <f t="shared" si="2"/>
        <v>8</v>
      </c>
      <c r="G92" s="3">
        <f t="shared" si="3"/>
        <v>6</v>
      </c>
      <c r="H92" s="6" t="s">
        <v>13</v>
      </c>
      <c r="I92" s="3"/>
    </row>
    <row r="93" spans="1:9" ht="120">
      <c r="A93" s="3">
        <v>92</v>
      </c>
      <c r="B93" s="11" t="s">
        <v>155</v>
      </c>
      <c r="C93" s="11" t="s">
        <v>194</v>
      </c>
      <c r="D93" s="5" t="s">
        <v>195</v>
      </c>
      <c r="E93" s="5" t="s">
        <v>196</v>
      </c>
      <c r="F93" s="3">
        <f t="shared" si="2"/>
        <v>8</v>
      </c>
      <c r="G93" s="3">
        <f t="shared" si="3"/>
        <v>6</v>
      </c>
      <c r="H93" s="6" t="s">
        <v>13</v>
      </c>
      <c r="I93" s="3"/>
    </row>
    <row r="94" spans="1:9" ht="79">
      <c r="A94" s="3">
        <v>93</v>
      </c>
      <c r="B94" s="11" t="s">
        <v>155</v>
      </c>
      <c r="C94" s="11" t="s">
        <v>197</v>
      </c>
      <c r="D94" s="5" t="s">
        <v>198</v>
      </c>
      <c r="E94" s="5" t="s">
        <v>199</v>
      </c>
      <c r="F94" s="3">
        <f t="shared" si="2"/>
        <v>5</v>
      </c>
      <c r="G94" s="3">
        <f t="shared" si="3"/>
        <v>4</v>
      </c>
      <c r="H94" s="6" t="s">
        <v>13</v>
      </c>
      <c r="I94" s="3"/>
    </row>
    <row r="95" spans="1:9" ht="109">
      <c r="A95" s="3">
        <v>94</v>
      </c>
      <c r="B95" s="11" t="s">
        <v>155</v>
      </c>
      <c r="C95" s="11" t="s">
        <v>200</v>
      </c>
      <c r="D95" s="5" t="s">
        <v>201</v>
      </c>
      <c r="E95" s="5" t="s">
        <v>202</v>
      </c>
      <c r="F95" s="3">
        <f t="shared" si="2"/>
        <v>7</v>
      </c>
      <c r="G95" s="3">
        <f t="shared" si="3"/>
        <v>6</v>
      </c>
      <c r="H95" s="6" t="s">
        <v>13</v>
      </c>
      <c r="I95" s="3"/>
    </row>
    <row r="96" spans="1:9" ht="98">
      <c r="A96" s="3">
        <v>95</v>
      </c>
      <c r="B96" s="11" t="s">
        <v>155</v>
      </c>
      <c r="C96" s="11" t="s">
        <v>203</v>
      </c>
      <c r="D96" s="5" t="s">
        <v>204</v>
      </c>
      <c r="E96" s="5" t="s">
        <v>205</v>
      </c>
      <c r="F96" s="3">
        <f t="shared" si="2"/>
        <v>5</v>
      </c>
      <c r="G96" s="3">
        <f t="shared" si="3"/>
        <v>4</v>
      </c>
      <c r="H96" s="6" t="s">
        <v>13</v>
      </c>
      <c r="I96" s="3"/>
    </row>
    <row r="97" spans="1:9" ht="98">
      <c r="A97" s="3">
        <v>96</v>
      </c>
      <c r="B97" s="11" t="s">
        <v>155</v>
      </c>
      <c r="C97" s="11" t="s">
        <v>206</v>
      </c>
      <c r="D97" s="5" t="s">
        <v>207</v>
      </c>
      <c r="E97" s="5" t="s">
        <v>208</v>
      </c>
      <c r="F97" s="3">
        <f t="shared" si="2"/>
        <v>5</v>
      </c>
      <c r="G97" s="3">
        <f t="shared" si="3"/>
        <v>4</v>
      </c>
      <c r="H97" s="6" t="s">
        <v>13</v>
      </c>
      <c r="I97" s="3"/>
    </row>
    <row r="98" spans="1:9" ht="90">
      <c r="A98" s="3">
        <v>97</v>
      </c>
      <c r="B98" s="11" t="s">
        <v>155</v>
      </c>
      <c r="C98" s="11" t="s">
        <v>209</v>
      </c>
      <c r="D98" s="5" t="s">
        <v>210</v>
      </c>
      <c r="E98" s="5" t="s">
        <v>211</v>
      </c>
      <c r="F98" s="3">
        <f t="shared" si="2"/>
        <v>6</v>
      </c>
      <c r="G98" s="3">
        <f t="shared" si="3"/>
        <v>5</v>
      </c>
      <c r="H98" s="6" t="s">
        <v>13</v>
      </c>
      <c r="I98" s="3"/>
    </row>
    <row r="99" spans="1:9" ht="79">
      <c r="A99" s="3">
        <v>98</v>
      </c>
      <c r="B99" s="11" t="s">
        <v>155</v>
      </c>
      <c r="C99" s="11" t="s">
        <v>212</v>
      </c>
      <c r="D99" s="5" t="s">
        <v>213</v>
      </c>
      <c r="E99" s="5" t="s">
        <v>214</v>
      </c>
      <c r="F99" s="3">
        <f t="shared" si="2"/>
        <v>5</v>
      </c>
      <c r="G99" s="3">
        <f t="shared" si="3"/>
        <v>4</v>
      </c>
      <c r="H99" s="6" t="s">
        <v>13</v>
      </c>
      <c r="I99" s="3"/>
    </row>
    <row r="100" spans="1:9" ht="90">
      <c r="A100" s="3">
        <v>99</v>
      </c>
      <c r="B100" s="11" t="s">
        <v>155</v>
      </c>
      <c r="C100" s="11" t="s">
        <v>215</v>
      </c>
      <c r="D100" s="5" t="s">
        <v>216</v>
      </c>
      <c r="E100" s="5" t="s">
        <v>508</v>
      </c>
      <c r="F100" s="3">
        <f t="shared" si="2"/>
        <v>6</v>
      </c>
      <c r="G100" s="3">
        <f t="shared" si="3"/>
        <v>5</v>
      </c>
      <c r="H100" s="6" t="s">
        <v>13</v>
      </c>
      <c r="I100" s="3"/>
    </row>
    <row r="101" spans="1:9" ht="79">
      <c r="A101" s="3">
        <v>100</v>
      </c>
      <c r="B101" s="11" t="s">
        <v>155</v>
      </c>
      <c r="C101" s="11" t="s">
        <v>217</v>
      </c>
      <c r="D101" s="5" t="s">
        <v>218</v>
      </c>
      <c r="E101" s="5" t="s">
        <v>509</v>
      </c>
      <c r="F101" s="3">
        <f t="shared" si="2"/>
        <v>5</v>
      </c>
      <c r="G101" s="3">
        <f t="shared" si="3"/>
        <v>4</v>
      </c>
      <c r="H101" s="6" t="s">
        <v>13</v>
      </c>
      <c r="I101" s="3"/>
    </row>
    <row r="102" spans="1:9" ht="90">
      <c r="A102" s="3">
        <v>101</v>
      </c>
      <c r="B102" s="11" t="s">
        <v>155</v>
      </c>
      <c r="C102" s="11" t="s">
        <v>219</v>
      </c>
      <c r="D102" s="5" t="s">
        <v>220</v>
      </c>
      <c r="E102" s="5" t="s">
        <v>221</v>
      </c>
      <c r="F102" s="3">
        <f t="shared" si="2"/>
        <v>6</v>
      </c>
      <c r="G102" s="3">
        <f t="shared" si="3"/>
        <v>5</v>
      </c>
      <c r="H102" s="6" t="s">
        <v>13</v>
      </c>
      <c r="I102" s="3"/>
    </row>
    <row r="103" spans="1:9" ht="105">
      <c r="A103" s="3">
        <v>102</v>
      </c>
      <c r="B103" s="11" t="s">
        <v>155</v>
      </c>
      <c r="C103" s="11" t="s">
        <v>222</v>
      </c>
      <c r="D103" s="5" t="s">
        <v>223</v>
      </c>
      <c r="E103" s="5" t="s">
        <v>224</v>
      </c>
      <c r="F103" s="3">
        <f t="shared" si="2"/>
        <v>7</v>
      </c>
      <c r="G103" s="3">
        <f t="shared" si="3"/>
        <v>6</v>
      </c>
      <c r="H103" s="6" t="s">
        <v>13</v>
      </c>
      <c r="I103" s="3"/>
    </row>
    <row r="104" spans="1:9" ht="90">
      <c r="A104" s="3">
        <v>103</v>
      </c>
      <c r="B104" s="11" t="s">
        <v>155</v>
      </c>
      <c r="C104" s="11" t="s">
        <v>225</v>
      </c>
      <c r="D104" s="5" t="s">
        <v>226</v>
      </c>
      <c r="E104" s="5" t="s">
        <v>227</v>
      </c>
      <c r="F104" s="3">
        <f t="shared" si="2"/>
        <v>6</v>
      </c>
      <c r="G104" s="3">
        <f t="shared" si="3"/>
        <v>5</v>
      </c>
      <c r="H104" s="6" t="s">
        <v>13</v>
      </c>
      <c r="I104" s="3"/>
    </row>
    <row r="105" spans="1:9" ht="79">
      <c r="A105" s="3">
        <v>104</v>
      </c>
      <c r="B105" s="11" t="s">
        <v>155</v>
      </c>
      <c r="C105" s="11" t="s">
        <v>228</v>
      </c>
      <c r="D105" s="5" t="s">
        <v>229</v>
      </c>
      <c r="E105" s="5" t="s">
        <v>230</v>
      </c>
      <c r="F105" s="3">
        <f t="shared" si="2"/>
        <v>5</v>
      </c>
      <c r="G105" s="3">
        <f t="shared" si="3"/>
        <v>4</v>
      </c>
      <c r="H105" s="6" t="s">
        <v>13</v>
      </c>
      <c r="I105" s="3"/>
    </row>
    <row r="106" spans="1:9" ht="72">
      <c r="A106" s="3">
        <v>105</v>
      </c>
      <c r="B106" s="11" t="s">
        <v>155</v>
      </c>
      <c r="C106" s="11" t="s">
        <v>231</v>
      </c>
      <c r="D106" s="5" t="s">
        <v>232</v>
      </c>
      <c r="E106" s="5" t="s">
        <v>233</v>
      </c>
      <c r="F106" s="3">
        <f t="shared" si="2"/>
        <v>4</v>
      </c>
      <c r="G106" s="3">
        <f t="shared" si="3"/>
        <v>3</v>
      </c>
      <c r="H106" s="6" t="s">
        <v>13</v>
      </c>
      <c r="I106" s="3"/>
    </row>
    <row r="107" spans="1:9" ht="105">
      <c r="A107" s="3">
        <v>106</v>
      </c>
      <c r="B107" s="11" t="s">
        <v>155</v>
      </c>
      <c r="C107" s="11" t="s">
        <v>234</v>
      </c>
      <c r="D107" s="5" t="s">
        <v>235</v>
      </c>
      <c r="E107" s="5" t="s">
        <v>236</v>
      </c>
      <c r="F107" s="3">
        <f t="shared" si="2"/>
        <v>7</v>
      </c>
      <c r="G107" s="3">
        <f t="shared" si="3"/>
        <v>6</v>
      </c>
      <c r="H107" s="6" t="s">
        <v>13</v>
      </c>
      <c r="I107" s="3"/>
    </row>
    <row r="108" spans="1:9" ht="90">
      <c r="A108" s="3">
        <v>107</v>
      </c>
      <c r="B108" s="11" t="s">
        <v>155</v>
      </c>
      <c r="C108" s="11" t="s">
        <v>237</v>
      </c>
      <c r="D108" s="5" t="s">
        <v>238</v>
      </c>
      <c r="E108" s="5" t="s">
        <v>239</v>
      </c>
      <c r="F108" s="3">
        <f t="shared" si="2"/>
        <v>6</v>
      </c>
      <c r="G108" s="3">
        <f t="shared" si="3"/>
        <v>5</v>
      </c>
      <c r="H108" s="6" t="s">
        <v>13</v>
      </c>
      <c r="I108" s="3"/>
    </row>
    <row r="109" spans="1:9" ht="102">
      <c r="A109" s="3">
        <v>108</v>
      </c>
      <c r="B109" s="11" t="s">
        <v>155</v>
      </c>
      <c r="C109" s="11" t="s">
        <v>240</v>
      </c>
      <c r="D109" s="5" t="s">
        <v>241</v>
      </c>
      <c r="E109" s="5" t="s">
        <v>242</v>
      </c>
      <c r="F109" s="3">
        <f t="shared" si="2"/>
        <v>6</v>
      </c>
      <c r="G109" s="3">
        <f t="shared" si="3"/>
        <v>5</v>
      </c>
      <c r="H109" s="6" t="s">
        <v>13</v>
      </c>
      <c r="I109" s="3"/>
    </row>
    <row r="110" spans="1:9" ht="83">
      <c r="A110" s="3">
        <v>109</v>
      </c>
      <c r="B110" s="11" t="s">
        <v>155</v>
      </c>
      <c r="C110" s="11" t="s">
        <v>243</v>
      </c>
      <c r="D110" s="5" t="s">
        <v>244</v>
      </c>
      <c r="E110" s="5" t="s">
        <v>245</v>
      </c>
      <c r="F110" s="3">
        <f t="shared" si="2"/>
        <v>5</v>
      </c>
      <c r="G110" s="3">
        <f t="shared" si="3"/>
        <v>4</v>
      </c>
      <c r="H110" s="6" t="s">
        <v>13</v>
      </c>
      <c r="I110" s="3"/>
    </row>
    <row r="111" spans="1:9" ht="98">
      <c r="A111" s="3">
        <v>110</v>
      </c>
      <c r="B111" s="11" t="s">
        <v>155</v>
      </c>
      <c r="C111" s="11" t="s">
        <v>246</v>
      </c>
      <c r="D111" s="5" t="s">
        <v>247</v>
      </c>
      <c r="E111" s="5" t="s">
        <v>248</v>
      </c>
      <c r="F111" s="3">
        <f t="shared" si="2"/>
        <v>5</v>
      </c>
      <c r="G111" s="3">
        <f t="shared" si="3"/>
        <v>4</v>
      </c>
      <c r="H111" s="6" t="s">
        <v>13</v>
      </c>
      <c r="I111" s="3"/>
    </row>
    <row r="112" spans="1:9" ht="105">
      <c r="A112" s="3">
        <v>111</v>
      </c>
      <c r="B112" s="11" t="s">
        <v>155</v>
      </c>
      <c r="C112" s="11" t="s">
        <v>249</v>
      </c>
      <c r="D112" s="5" t="s">
        <v>250</v>
      </c>
      <c r="E112" s="5" t="s">
        <v>251</v>
      </c>
      <c r="F112" s="3">
        <f t="shared" si="2"/>
        <v>7</v>
      </c>
      <c r="G112" s="3">
        <f t="shared" si="3"/>
        <v>6</v>
      </c>
      <c r="H112" s="6" t="s">
        <v>13</v>
      </c>
      <c r="I112" s="3"/>
    </row>
    <row r="113" spans="1:9" ht="94">
      <c r="A113" s="3">
        <v>112</v>
      </c>
      <c r="B113" s="11" t="s">
        <v>155</v>
      </c>
      <c r="C113" s="11" t="s">
        <v>252</v>
      </c>
      <c r="D113" s="5" t="s">
        <v>253</v>
      </c>
      <c r="E113" s="5" t="s">
        <v>254</v>
      </c>
      <c r="F113" s="3">
        <f t="shared" si="2"/>
        <v>6</v>
      </c>
      <c r="G113" s="3">
        <f t="shared" si="3"/>
        <v>5</v>
      </c>
      <c r="H113" s="6" t="s">
        <v>13</v>
      </c>
      <c r="I113" s="3"/>
    </row>
    <row r="114" spans="1:9" ht="109">
      <c r="A114" s="3">
        <v>113</v>
      </c>
      <c r="B114" s="13" t="s">
        <v>255</v>
      </c>
      <c r="C114" s="13" t="s">
        <v>256</v>
      </c>
      <c r="D114" s="5" t="s">
        <v>257</v>
      </c>
      <c r="E114" s="5" t="s">
        <v>258</v>
      </c>
      <c r="F114" s="3">
        <f t="shared" si="2"/>
        <v>7</v>
      </c>
      <c r="G114" s="3">
        <f t="shared" si="3"/>
        <v>6</v>
      </c>
      <c r="H114" s="6" t="s">
        <v>13</v>
      </c>
      <c r="I114" s="3"/>
    </row>
    <row r="115" spans="1:9" ht="94">
      <c r="A115" s="3">
        <v>114</v>
      </c>
      <c r="B115" s="13" t="s">
        <v>255</v>
      </c>
      <c r="C115" s="13" t="s">
        <v>256</v>
      </c>
      <c r="D115" s="5" t="s">
        <v>259</v>
      </c>
      <c r="E115" s="5" t="s">
        <v>260</v>
      </c>
      <c r="F115" s="3">
        <f t="shared" si="2"/>
        <v>6</v>
      </c>
      <c r="G115" s="3">
        <f t="shared" si="3"/>
        <v>5</v>
      </c>
      <c r="H115" s="6" t="s">
        <v>13</v>
      </c>
      <c r="I115" s="3"/>
    </row>
    <row r="116" spans="1:9" ht="121">
      <c r="A116" s="3">
        <v>115</v>
      </c>
      <c r="B116" s="13" t="s">
        <v>255</v>
      </c>
      <c r="C116" s="13" t="s">
        <v>256</v>
      </c>
      <c r="D116" s="5" t="s">
        <v>261</v>
      </c>
      <c r="E116" s="5" t="s">
        <v>262</v>
      </c>
      <c r="F116" s="3">
        <f t="shared" si="2"/>
        <v>7</v>
      </c>
      <c r="G116" s="3">
        <f t="shared" si="3"/>
        <v>6</v>
      </c>
      <c r="H116" s="6" t="s">
        <v>13</v>
      </c>
      <c r="I116" s="3"/>
    </row>
    <row r="117" spans="1:9" ht="90">
      <c r="A117" s="3">
        <v>116</v>
      </c>
      <c r="B117" s="13" t="s">
        <v>255</v>
      </c>
      <c r="C117" s="13" t="s">
        <v>263</v>
      </c>
      <c r="D117" s="5" t="s">
        <v>264</v>
      </c>
      <c r="E117" s="5" t="s">
        <v>510</v>
      </c>
      <c r="F117" s="3">
        <f t="shared" si="2"/>
        <v>6</v>
      </c>
      <c r="G117" s="3">
        <f t="shared" si="3"/>
        <v>5</v>
      </c>
      <c r="H117" s="6" t="s">
        <v>13</v>
      </c>
      <c r="I117" s="3"/>
    </row>
    <row r="118" spans="1:9" ht="117">
      <c r="A118" s="3">
        <v>117</v>
      </c>
      <c r="B118" s="13" t="s">
        <v>255</v>
      </c>
      <c r="C118" s="13" t="s">
        <v>265</v>
      </c>
      <c r="D118" s="5" t="s">
        <v>266</v>
      </c>
      <c r="E118" s="5" t="s">
        <v>511</v>
      </c>
      <c r="F118" s="3">
        <f t="shared" si="2"/>
        <v>7</v>
      </c>
      <c r="G118" s="3">
        <f t="shared" si="3"/>
        <v>6</v>
      </c>
      <c r="H118" s="6" t="s">
        <v>13</v>
      </c>
      <c r="I118" s="3">
        <v>0</v>
      </c>
    </row>
    <row r="119" spans="1:9" ht="98">
      <c r="A119" s="3">
        <v>118</v>
      </c>
      <c r="B119" s="13" t="s">
        <v>255</v>
      </c>
      <c r="C119" s="13" t="s">
        <v>265</v>
      </c>
      <c r="D119" s="5" t="s">
        <v>267</v>
      </c>
      <c r="E119" s="5" t="s">
        <v>512</v>
      </c>
      <c r="F119" s="3">
        <f t="shared" si="2"/>
        <v>6</v>
      </c>
      <c r="G119" s="3">
        <f t="shared" si="3"/>
        <v>5</v>
      </c>
      <c r="H119" s="6" t="s">
        <v>13</v>
      </c>
      <c r="I119" s="3">
        <v>0</v>
      </c>
    </row>
    <row r="120" spans="1:9" ht="94">
      <c r="A120" s="3">
        <v>119</v>
      </c>
      <c r="B120" s="13" t="s">
        <v>255</v>
      </c>
      <c r="C120" s="13" t="s">
        <v>268</v>
      </c>
      <c r="D120" s="5" t="s">
        <v>269</v>
      </c>
      <c r="E120" s="5" t="s">
        <v>270</v>
      </c>
      <c r="F120" s="3">
        <f t="shared" si="2"/>
        <v>6</v>
      </c>
      <c r="G120" s="3">
        <f t="shared" si="3"/>
        <v>5</v>
      </c>
      <c r="H120" s="6" t="s">
        <v>13</v>
      </c>
      <c r="I120" s="3">
        <v>0</v>
      </c>
    </row>
    <row r="121" spans="1:9" ht="105">
      <c r="A121" s="3">
        <v>120</v>
      </c>
      <c r="B121" s="13" t="s">
        <v>255</v>
      </c>
      <c r="C121" s="13" t="s">
        <v>271</v>
      </c>
      <c r="D121" s="5" t="s">
        <v>272</v>
      </c>
      <c r="E121" s="5" t="s">
        <v>513</v>
      </c>
      <c r="F121" s="3">
        <f t="shared" si="2"/>
        <v>6</v>
      </c>
      <c r="G121" s="3">
        <f t="shared" si="3"/>
        <v>5</v>
      </c>
      <c r="H121" s="6" t="s">
        <v>13</v>
      </c>
      <c r="I121" s="3"/>
    </row>
    <row r="122" spans="1:9" ht="94">
      <c r="A122" s="3">
        <v>121</v>
      </c>
      <c r="B122" s="13" t="s">
        <v>255</v>
      </c>
      <c r="C122" s="13" t="s">
        <v>271</v>
      </c>
      <c r="D122" s="5" t="s">
        <v>515</v>
      </c>
      <c r="E122" s="5" t="s">
        <v>514</v>
      </c>
      <c r="F122" s="3">
        <f t="shared" ref="F122:F181" si="4">IF(E122="",0,LEN(E122)-LEN(SUBSTITUTE(E122,CHAR(10),""))+1)</f>
        <v>6</v>
      </c>
      <c r="G122" s="3">
        <f t="shared" ref="G122:G181" si="5">MAX(1,ROUNDUP(F122*0.75,0))</f>
        <v>5</v>
      </c>
      <c r="H122" s="6" t="s">
        <v>13</v>
      </c>
      <c r="I122" s="3"/>
    </row>
    <row r="123" spans="1:9" ht="75">
      <c r="A123" s="3">
        <v>122</v>
      </c>
      <c r="B123" s="13" t="s">
        <v>255</v>
      </c>
      <c r="C123" s="13" t="s">
        <v>273</v>
      </c>
      <c r="D123" s="5" t="s">
        <v>274</v>
      </c>
      <c r="E123" s="5" t="s">
        <v>516</v>
      </c>
      <c r="F123" s="3">
        <f t="shared" si="4"/>
        <v>5</v>
      </c>
      <c r="G123" s="3">
        <f t="shared" si="5"/>
        <v>4</v>
      </c>
      <c r="H123" s="6" t="s">
        <v>13</v>
      </c>
      <c r="I123" s="3"/>
    </row>
    <row r="124" spans="1:9" ht="64">
      <c r="A124" s="3">
        <v>123</v>
      </c>
      <c r="B124" s="13" t="s">
        <v>255</v>
      </c>
      <c r="C124" s="13" t="s">
        <v>275</v>
      </c>
      <c r="D124" s="5" t="s">
        <v>517</v>
      </c>
      <c r="E124" s="5" t="s">
        <v>518</v>
      </c>
      <c r="F124" s="3">
        <f t="shared" si="4"/>
        <v>4</v>
      </c>
      <c r="G124" s="3">
        <f t="shared" si="5"/>
        <v>3</v>
      </c>
      <c r="H124" s="6" t="s">
        <v>13</v>
      </c>
      <c r="I124" s="3"/>
    </row>
    <row r="125" spans="1:9" ht="79">
      <c r="A125" s="3">
        <v>124</v>
      </c>
      <c r="B125" s="13" t="s">
        <v>255</v>
      </c>
      <c r="C125" s="13" t="s">
        <v>275</v>
      </c>
      <c r="D125" s="5" t="s">
        <v>276</v>
      </c>
      <c r="E125" s="5" t="s">
        <v>277</v>
      </c>
      <c r="F125" s="3">
        <f t="shared" si="4"/>
        <v>5</v>
      </c>
      <c r="G125" s="3">
        <f t="shared" si="5"/>
        <v>4</v>
      </c>
      <c r="H125" s="6" t="s">
        <v>13</v>
      </c>
      <c r="I125" s="3"/>
    </row>
    <row r="126" spans="1:9" ht="75">
      <c r="A126" s="3">
        <v>125</v>
      </c>
      <c r="B126" s="13" t="s">
        <v>255</v>
      </c>
      <c r="C126" s="13" t="s">
        <v>278</v>
      </c>
      <c r="D126" s="5" t="s">
        <v>279</v>
      </c>
      <c r="E126" s="5" t="s">
        <v>519</v>
      </c>
      <c r="F126" s="3">
        <f t="shared" si="4"/>
        <v>5</v>
      </c>
      <c r="G126" s="3">
        <f t="shared" si="5"/>
        <v>4</v>
      </c>
      <c r="H126" s="6" t="s">
        <v>13</v>
      </c>
      <c r="I126" s="3"/>
    </row>
    <row r="127" spans="1:9" ht="87">
      <c r="A127" s="3">
        <v>126</v>
      </c>
      <c r="B127" s="13" t="s">
        <v>255</v>
      </c>
      <c r="C127" s="13" t="s">
        <v>278</v>
      </c>
      <c r="D127" s="5" t="s">
        <v>280</v>
      </c>
      <c r="E127" s="5" t="s">
        <v>281</v>
      </c>
      <c r="F127" s="3">
        <f t="shared" si="4"/>
        <v>5</v>
      </c>
      <c r="G127" s="3">
        <f t="shared" si="5"/>
        <v>4</v>
      </c>
      <c r="H127" s="6" t="s">
        <v>13</v>
      </c>
      <c r="I127" s="3"/>
    </row>
    <row r="128" spans="1:9" ht="90">
      <c r="A128" s="3">
        <v>127</v>
      </c>
      <c r="B128" s="13" t="s">
        <v>255</v>
      </c>
      <c r="C128" s="13" t="s">
        <v>282</v>
      </c>
      <c r="D128" s="5" t="s">
        <v>283</v>
      </c>
      <c r="E128" s="5" t="s">
        <v>284</v>
      </c>
      <c r="F128" s="3">
        <f t="shared" si="4"/>
        <v>6</v>
      </c>
      <c r="G128" s="3">
        <f t="shared" si="5"/>
        <v>5</v>
      </c>
      <c r="H128" s="6" t="s">
        <v>13</v>
      </c>
      <c r="I128" s="3"/>
    </row>
    <row r="129" spans="1:9" ht="94">
      <c r="A129" s="3">
        <v>128</v>
      </c>
      <c r="B129" s="13" t="s">
        <v>255</v>
      </c>
      <c r="C129" s="13" t="s">
        <v>285</v>
      </c>
      <c r="D129" s="7" t="s">
        <v>286</v>
      </c>
      <c r="E129" s="5" t="s">
        <v>520</v>
      </c>
      <c r="F129" s="3">
        <f t="shared" si="4"/>
        <v>6</v>
      </c>
      <c r="G129" s="3">
        <f t="shared" si="5"/>
        <v>5</v>
      </c>
      <c r="H129" s="6" t="s">
        <v>13</v>
      </c>
      <c r="I129" s="3"/>
    </row>
    <row r="130" spans="1:9" ht="60">
      <c r="A130" s="3">
        <v>129</v>
      </c>
      <c r="B130" s="13" t="s">
        <v>255</v>
      </c>
      <c r="C130" s="13" t="s">
        <v>285</v>
      </c>
      <c r="D130" s="5" t="s">
        <v>287</v>
      </c>
      <c r="E130" s="5" t="s">
        <v>288</v>
      </c>
      <c r="F130" s="3">
        <f t="shared" si="4"/>
        <v>4</v>
      </c>
      <c r="G130" s="3">
        <f t="shared" si="5"/>
        <v>3</v>
      </c>
      <c r="H130" s="6" t="s">
        <v>13</v>
      </c>
      <c r="I130" s="3"/>
    </row>
    <row r="131" spans="1:9" ht="105">
      <c r="A131" s="3">
        <v>130</v>
      </c>
      <c r="B131" s="13" t="s">
        <v>255</v>
      </c>
      <c r="C131" s="13" t="s">
        <v>289</v>
      </c>
      <c r="D131" s="5" t="s">
        <v>290</v>
      </c>
      <c r="E131" s="5" t="s">
        <v>521</v>
      </c>
      <c r="F131" s="3">
        <f t="shared" si="4"/>
        <v>7</v>
      </c>
      <c r="G131" s="3">
        <f t="shared" si="5"/>
        <v>6</v>
      </c>
      <c r="H131" s="6" t="s">
        <v>13</v>
      </c>
      <c r="I131" s="3"/>
    </row>
    <row r="132" spans="1:9" ht="109">
      <c r="A132" s="3">
        <v>131</v>
      </c>
      <c r="B132" s="13" t="s">
        <v>255</v>
      </c>
      <c r="C132" s="13" t="s">
        <v>289</v>
      </c>
      <c r="D132" s="5" t="s">
        <v>291</v>
      </c>
      <c r="E132" s="5" t="s">
        <v>292</v>
      </c>
      <c r="F132" s="3">
        <f t="shared" si="4"/>
        <v>6</v>
      </c>
      <c r="G132" s="3">
        <f t="shared" si="5"/>
        <v>5</v>
      </c>
      <c r="H132" s="6" t="s">
        <v>13</v>
      </c>
      <c r="I132" s="3"/>
    </row>
    <row r="133" spans="1:9" ht="109">
      <c r="A133" s="3">
        <v>132</v>
      </c>
      <c r="B133" s="13" t="s">
        <v>255</v>
      </c>
      <c r="C133" s="13" t="s">
        <v>293</v>
      </c>
      <c r="D133" s="5" t="s">
        <v>294</v>
      </c>
      <c r="E133" s="5" t="s">
        <v>295</v>
      </c>
      <c r="F133" s="3">
        <f t="shared" si="4"/>
        <v>7</v>
      </c>
      <c r="G133" s="3">
        <f t="shared" si="5"/>
        <v>6</v>
      </c>
      <c r="H133" s="6" t="s">
        <v>13</v>
      </c>
      <c r="I133" s="3"/>
    </row>
    <row r="134" spans="1:9" ht="49">
      <c r="A134" s="3">
        <v>133</v>
      </c>
      <c r="B134" s="13" t="s">
        <v>255</v>
      </c>
      <c r="C134" s="13" t="s">
        <v>296</v>
      </c>
      <c r="D134" s="5" t="s">
        <v>297</v>
      </c>
      <c r="E134" s="5" t="s">
        <v>522</v>
      </c>
      <c r="F134" s="3">
        <f t="shared" si="4"/>
        <v>3</v>
      </c>
      <c r="G134" s="3">
        <f t="shared" si="5"/>
        <v>3</v>
      </c>
      <c r="H134" s="6" t="s">
        <v>13</v>
      </c>
      <c r="I134" s="3">
        <v>0</v>
      </c>
    </row>
    <row r="135" spans="1:9" ht="117">
      <c r="A135" s="3">
        <v>134</v>
      </c>
      <c r="B135" s="13" t="s">
        <v>255</v>
      </c>
      <c r="C135" s="13" t="s">
        <v>298</v>
      </c>
      <c r="D135" s="5" t="s">
        <v>299</v>
      </c>
      <c r="E135" s="5" t="s">
        <v>300</v>
      </c>
      <c r="F135" s="3">
        <f t="shared" si="4"/>
        <v>7</v>
      </c>
      <c r="G135" s="3">
        <f t="shared" si="5"/>
        <v>6</v>
      </c>
      <c r="H135" s="6" t="s">
        <v>13</v>
      </c>
      <c r="I135" s="3">
        <v>0</v>
      </c>
    </row>
    <row r="136" spans="1:9" ht="90">
      <c r="A136" s="3">
        <v>135</v>
      </c>
      <c r="B136" s="13" t="s">
        <v>255</v>
      </c>
      <c r="C136" s="13" t="s">
        <v>301</v>
      </c>
      <c r="D136" s="5" t="s">
        <v>302</v>
      </c>
      <c r="E136" s="5" t="s">
        <v>523</v>
      </c>
      <c r="F136" s="3">
        <f t="shared" si="4"/>
        <v>6</v>
      </c>
      <c r="G136" s="3">
        <f t="shared" si="5"/>
        <v>5</v>
      </c>
      <c r="H136" s="6" t="s">
        <v>13</v>
      </c>
      <c r="I136" s="3">
        <v>0</v>
      </c>
    </row>
    <row r="137" spans="1:9" ht="30">
      <c r="A137" s="3">
        <v>136</v>
      </c>
      <c r="B137" s="13" t="s">
        <v>255</v>
      </c>
      <c r="C137" s="13" t="s">
        <v>303</v>
      </c>
      <c r="D137" s="5" t="s">
        <v>524</v>
      </c>
      <c r="E137" s="5" t="s">
        <v>525</v>
      </c>
      <c r="F137" s="3">
        <f t="shared" si="4"/>
        <v>2</v>
      </c>
      <c r="G137" s="3">
        <f t="shared" si="5"/>
        <v>2</v>
      </c>
      <c r="H137" s="6" t="s">
        <v>13</v>
      </c>
      <c r="I137" s="3"/>
    </row>
    <row r="138" spans="1:9" ht="75">
      <c r="A138" s="3">
        <v>137</v>
      </c>
      <c r="B138" s="13" t="s">
        <v>255</v>
      </c>
      <c r="C138" s="13" t="s">
        <v>304</v>
      </c>
      <c r="D138" s="5" t="s">
        <v>305</v>
      </c>
      <c r="E138" s="5" t="s">
        <v>526</v>
      </c>
      <c r="F138" s="3">
        <f t="shared" si="4"/>
        <v>5</v>
      </c>
      <c r="G138" s="3">
        <f t="shared" si="5"/>
        <v>4</v>
      </c>
      <c r="H138" s="6" t="s">
        <v>13</v>
      </c>
      <c r="I138" s="3">
        <v>0</v>
      </c>
    </row>
    <row r="139" spans="1:9" ht="60">
      <c r="A139" s="3">
        <v>138</v>
      </c>
      <c r="B139" s="13" t="s">
        <v>255</v>
      </c>
      <c r="C139" s="13" t="s">
        <v>306</v>
      </c>
      <c r="D139" s="5" t="s">
        <v>527</v>
      </c>
      <c r="E139" s="5" t="s">
        <v>528</v>
      </c>
      <c r="F139" s="3">
        <f t="shared" si="4"/>
        <v>4</v>
      </c>
      <c r="G139" s="3">
        <f t="shared" si="5"/>
        <v>3</v>
      </c>
      <c r="H139" s="6" t="s">
        <v>13</v>
      </c>
      <c r="I139" s="3"/>
    </row>
    <row r="140" spans="1:9" ht="105">
      <c r="A140" s="3">
        <v>139</v>
      </c>
      <c r="B140" s="13" t="s">
        <v>255</v>
      </c>
      <c r="C140" s="13" t="s">
        <v>306</v>
      </c>
      <c r="D140" s="5" t="s">
        <v>529</v>
      </c>
      <c r="E140" s="5" t="s">
        <v>307</v>
      </c>
      <c r="F140" s="3">
        <f t="shared" si="4"/>
        <v>7</v>
      </c>
      <c r="G140" s="3">
        <f t="shared" si="5"/>
        <v>6</v>
      </c>
      <c r="H140" s="6" t="s">
        <v>13</v>
      </c>
      <c r="I140" s="3"/>
    </row>
    <row r="141" spans="1:9" ht="94">
      <c r="A141" s="3">
        <v>140</v>
      </c>
      <c r="B141" s="13" t="s">
        <v>255</v>
      </c>
      <c r="C141" s="13" t="s">
        <v>306</v>
      </c>
      <c r="D141" s="5" t="s">
        <v>308</v>
      </c>
      <c r="E141" s="5" t="s">
        <v>309</v>
      </c>
      <c r="F141" s="3">
        <f t="shared" si="4"/>
        <v>6</v>
      </c>
      <c r="G141" s="3">
        <f t="shared" si="5"/>
        <v>5</v>
      </c>
      <c r="H141" s="6" t="s">
        <v>13</v>
      </c>
      <c r="I141" s="3"/>
    </row>
    <row r="142" spans="1:9" ht="49">
      <c r="A142" s="3">
        <v>141</v>
      </c>
      <c r="B142" s="14" t="s">
        <v>310</v>
      </c>
      <c r="C142" s="14" t="s">
        <v>311</v>
      </c>
      <c r="D142" s="5" t="s">
        <v>530</v>
      </c>
      <c r="E142" s="5" t="s">
        <v>312</v>
      </c>
      <c r="F142" s="3">
        <f t="shared" si="4"/>
        <v>3</v>
      </c>
      <c r="G142" s="3">
        <f t="shared" si="5"/>
        <v>3</v>
      </c>
      <c r="H142" s="6" t="s">
        <v>13</v>
      </c>
      <c r="I142" s="3">
        <v>0</v>
      </c>
    </row>
    <row r="143" spans="1:9" ht="19">
      <c r="A143" s="3">
        <v>142</v>
      </c>
      <c r="B143" s="14" t="s">
        <v>310</v>
      </c>
      <c r="C143" s="14" t="s">
        <v>313</v>
      </c>
      <c r="D143" s="5" t="s">
        <v>531</v>
      </c>
      <c r="E143" s="5" t="s">
        <v>534</v>
      </c>
      <c r="F143" s="3">
        <f t="shared" si="4"/>
        <v>1</v>
      </c>
      <c r="G143" s="3">
        <f t="shared" si="5"/>
        <v>1</v>
      </c>
      <c r="H143" s="6" t="s">
        <v>13</v>
      </c>
      <c r="I143" s="3"/>
    </row>
    <row r="144" spans="1:9" ht="38">
      <c r="A144" s="3">
        <v>143</v>
      </c>
      <c r="B144" s="14" t="s">
        <v>310</v>
      </c>
      <c r="C144" s="14" t="s">
        <v>314</v>
      </c>
      <c r="D144" s="5" t="s">
        <v>315</v>
      </c>
      <c r="E144" s="5" t="s">
        <v>536</v>
      </c>
      <c r="F144" s="3">
        <f t="shared" si="4"/>
        <v>2</v>
      </c>
      <c r="G144" s="3">
        <f t="shared" si="5"/>
        <v>2</v>
      </c>
      <c r="H144" s="6" t="s">
        <v>13</v>
      </c>
      <c r="I144" s="3">
        <v>0</v>
      </c>
    </row>
    <row r="145" spans="1:9" ht="98">
      <c r="A145" s="3">
        <v>144</v>
      </c>
      <c r="B145" s="14" t="s">
        <v>310</v>
      </c>
      <c r="C145" s="14" t="s">
        <v>314</v>
      </c>
      <c r="D145" s="5" t="s">
        <v>316</v>
      </c>
      <c r="E145" s="5" t="s">
        <v>535</v>
      </c>
      <c r="F145" s="3">
        <f t="shared" si="4"/>
        <v>6</v>
      </c>
      <c r="G145" s="3">
        <f t="shared" si="5"/>
        <v>5</v>
      </c>
      <c r="H145" s="6" t="s">
        <v>13</v>
      </c>
      <c r="I145" s="3"/>
    </row>
    <row r="146" spans="1:9" ht="83">
      <c r="A146" s="3">
        <v>145</v>
      </c>
      <c r="B146" s="14" t="s">
        <v>310</v>
      </c>
      <c r="C146" s="15" t="s">
        <v>317</v>
      </c>
      <c r="D146" s="5" t="s">
        <v>318</v>
      </c>
      <c r="E146" s="5" t="s">
        <v>319</v>
      </c>
      <c r="F146" s="3">
        <f t="shared" si="4"/>
        <v>5</v>
      </c>
      <c r="G146" s="3">
        <f t="shared" si="5"/>
        <v>4</v>
      </c>
      <c r="H146" s="6" t="s">
        <v>13</v>
      </c>
      <c r="I146" s="3">
        <v>0</v>
      </c>
    </row>
    <row r="147" spans="1:9" ht="72">
      <c r="A147" s="3">
        <v>146</v>
      </c>
      <c r="B147" s="14" t="s">
        <v>310</v>
      </c>
      <c r="C147" s="14" t="s">
        <v>320</v>
      </c>
      <c r="D147" s="5" t="s">
        <v>321</v>
      </c>
      <c r="E147" s="5" t="s">
        <v>322</v>
      </c>
      <c r="F147" s="3">
        <f t="shared" si="4"/>
        <v>4</v>
      </c>
      <c r="G147" s="3">
        <f t="shared" si="5"/>
        <v>3</v>
      </c>
      <c r="H147" s="6" t="s">
        <v>13</v>
      </c>
      <c r="I147" s="3">
        <v>0</v>
      </c>
    </row>
    <row r="148" spans="1:9" ht="53">
      <c r="A148" s="3">
        <v>147</v>
      </c>
      <c r="B148" s="14" t="s">
        <v>310</v>
      </c>
      <c r="C148" s="14" t="s">
        <v>323</v>
      </c>
      <c r="D148" s="5" t="s">
        <v>324</v>
      </c>
      <c r="E148" s="5" t="s">
        <v>537</v>
      </c>
      <c r="F148" s="3">
        <f t="shared" si="4"/>
        <v>3</v>
      </c>
      <c r="G148" s="3">
        <f t="shared" si="5"/>
        <v>3</v>
      </c>
      <c r="H148" s="6" t="s">
        <v>13</v>
      </c>
      <c r="I148" s="3"/>
    </row>
    <row r="149" spans="1:9" ht="121">
      <c r="A149" s="3">
        <v>148</v>
      </c>
      <c r="B149" s="14" t="s">
        <v>310</v>
      </c>
      <c r="C149" s="14" t="s">
        <v>325</v>
      </c>
      <c r="D149" s="5" t="s">
        <v>326</v>
      </c>
      <c r="E149" s="5" t="s">
        <v>327</v>
      </c>
      <c r="F149" s="3">
        <f t="shared" si="4"/>
        <v>7</v>
      </c>
      <c r="G149" s="3">
        <f t="shared" si="5"/>
        <v>6</v>
      </c>
      <c r="H149" s="6" t="s">
        <v>13</v>
      </c>
      <c r="I149" s="3">
        <v>0</v>
      </c>
    </row>
    <row r="150" spans="1:9" ht="98">
      <c r="A150" s="3">
        <v>149</v>
      </c>
      <c r="B150" s="14" t="s">
        <v>310</v>
      </c>
      <c r="C150" s="14" t="s">
        <v>325</v>
      </c>
      <c r="D150" s="5" t="s">
        <v>328</v>
      </c>
      <c r="E150" s="5" t="s">
        <v>329</v>
      </c>
      <c r="F150" s="3">
        <f t="shared" si="4"/>
        <v>6</v>
      </c>
      <c r="G150" s="3">
        <f t="shared" si="5"/>
        <v>5</v>
      </c>
      <c r="H150" s="6" t="s">
        <v>13</v>
      </c>
      <c r="I150" s="3">
        <v>0</v>
      </c>
    </row>
    <row r="151" spans="1:9" ht="68">
      <c r="A151" s="3">
        <v>150</v>
      </c>
      <c r="B151" s="14" t="s">
        <v>310</v>
      </c>
      <c r="C151" s="14" t="s">
        <v>325</v>
      </c>
      <c r="D151" s="7" t="s">
        <v>330</v>
      </c>
      <c r="E151" s="5" t="s">
        <v>331</v>
      </c>
      <c r="F151" s="3">
        <f t="shared" si="4"/>
        <v>3</v>
      </c>
      <c r="G151" s="3">
        <f t="shared" si="5"/>
        <v>3</v>
      </c>
      <c r="H151" s="6" t="s">
        <v>13</v>
      </c>
      <c r="I151" s="3">
        <v>0</v>
      </c>
    </row>
    <row r="152" spans="1:9" ht="79">
      <c r="A152" s="3">
        <v>151</v>
      </c>
      <c r="B152" s="14" t="s">
        <v>310</v>
      </c>
      <c r="C152" s="14" t="s">
        <v>332</v>
      </c>
      <c r="D152" s="5" t="s">
        <v>333</v>
      </c>
      <c r="E152" s="5" t="s">
        <v>334</v>
      </c>
      <c r="F152" s="3">
        <f t="shared" si="4"/>
        <v>5</v>
      </c>
      <c r="G152" s="3">
        <f t="shared" si="5"/>
        <v>4</v>
      </c>
      <c r="H152" s="6" t="s">
        <v>13</v>
      </c>
      <c r="I152" s="3">
        <v>0</v>
      </c>
    </row>
    <row r="153" spans="1:9" ht="121">
      <c r="A153" s="3">
        <v>152</v>
      </c>
      <c r="B153" s="14" t="s">
        <v>310</v>
      </c>
      <c r="C153" s="14" t="s">
        <v>335</v>
      </c>
      <c r="D153" s="5" t="s">
        <v>336</v>
      </c>
      <c r="E153" s="5" t="s">
        <v>337</v>
      </c>
      <c r="F153" s="3">
        <f t="shared" si="4"/>
        <v>7</v>
      </c>
      <c r="G153" s="3">
        <f t="shared" si="5"/>
        <v>6</v>
      </c>
      <c r="H153" s="6" t="s">
        <v>13</v>
      </c>
      <c r="I153" s="3"/>
    </row>
    <row r="154" spans="1:9" ht="45">
      <c r="A154" s="3">
        <v>153</v>
      </c>
      <c r="B154" s="14" t="s">
        <v>310</v>
      </c>
      <c r="C154" s="14" t="s">
        <v>338</v>
      </c>
      <c r="D154" s="5" t="s">
        <v>538</v>
      </c>
      <c r="E154" s="5" t="s">
        <v>541</v>
      </c>
      <c r="F154" s="3">
        <f t="shared" si="4"/>
        <v>3</v>
      </c>
      <c r="G154" s="3">
        <f t="shared" si="5"/>
        <v>3</v>
      </c>
      <c r="H154" s="6" t="s">
        <v>13</v>
      </c>
      <c r="I154" s="3"/>
    </row>
    <row r="155" spans="1:9" ht="83">
      <c r="A155" s="3">
        <v>154</v>
      </c>
      <c r="B155" s="14" t="s">
        <v>310</v>
      </c>
      <c r="C155" s="14" t="s">
        <v>339</v>
      </c>
      <c r="D155" s="5" t="s">
        <v>340</v>
      </c>
      <c r="E155" s="5" t="s">
        <v>542</v>
      </c>
      <c r="F155" s="3">
        <f t="shared" si="4"/>
        <v>5</v>
      </c>
      <c r="G155" s="3">
        <f t="shared" si="5"/>
        <v>4</v>
      </c>
      <c r="H155" s="6" t="s">
        <v>13</v>
      </c>
      <c r="I155" s="3">
        <v>0</v>
      </c>
    </row>
    <row r="156" spans="1:9" ht="68">
      <c r="A156" s="3">
        <v>155</v>
      </c>
      <c r="B156" s="16" t="s">
        <v>341</v>
      </c>
      <c r="C156" s="16" t="s">
        <v>342</v>
      </c>
      <c r="D156" s="7" t="s">
        <v>343</v>
      </c>
      <c r="E156" s="5" t="s">
        <v>344</v>
      </c>
      <c r="F156" s="3">
        <f t="shared" si="4"/>
        <v>4</v>
      </c>
      <c r="G156" s="3">
        <f t="shared" si="5"/>
        <v>3</v>
      </c>
      <c r="H156" s="6" t="s">
        <v>13</v>
      </c>
      <c r="I156" s="3"/>
    </row>
    <row r="157" spans="1:9" ht="57">
      <c r="A157" s="3">
        <v>156</v>
      </c>
      <c r="B157" s="16" t="s">
        <v>341</v>
      </c>
      <c r="C157" s="17" t="s">
        <v>345</v>
      </c>
      <c r="D157" s="5" t="s">
        <v>346</v>
      </c>
      <c r="E157" s="5" t="s">
        <v>543</v>
      </c>
      <c r="F157" s="3">
        <f t="shared" si="4"/>
        <v>3</v>
      </c>
      <c r="G157" s="3">
        <f t="shared" si="5"/>
        <v>3</v>
      </c>
      <c r="H157" s="6" t="s">
        <v>13</v>
      </c>
      <c r="I157" s="3"/>
    </row>
    <row r="158" spans="1:9" ht="83">
      <c r="A158" s="3">
        <v>157</v>
      </c>
      <c r="B158" s="16" t="s">
        <v>341</v>
      </c>
      <c r="C158" s="17" t="s">
        <v>345</v>
      </c>
      <c r="D158" s="7" t="s">
        <v>347</v>
      </c>
      <c r="E158" s="5" t="s">
        <v>544</v>
      </c>
      <c r="F158" s="3">
        <f t="shared" si="4"/>
        <v>5</v>
      </c>
      <c r="G158" s="3">
        <f t="shared" si="5"/>
        <v>4</v>
      </c>
      <c r="H158" s="6" t="s">
        <v>13</v>
      </c>
      <c r="I158" s="3"/>
    </row>
    <row r="159" spans="1:9" ht="75">
      <c r="A159" s="3">
        <v>158</v>
      </c>
      <c r="B159" s="16" t="s">
        <v>341</v>
      </c>
      <c r="C159" s="16" t="s">
        <v>348</v>
      </c>
      <c r="D159" s="5" t="s">
        <v>349</v>
      </c>
      <c r="E159" s="5" t="s">
        <v>545</v>
      </c>
      <c r="F159" s="3">
        <f t="shared" si="4"/>
        <v>5</v>
      </c>
      <c r="G159" s="3">
        <f t="shared" si="5"/>
        <v>4</v>
      </c>
      <c r="H159" s="6" t="s">
        <v>13</v>
      </c>
      <c r="I159" s="3"/>
    </row>
    <row r="160" spans="1:9" ht="113">
      <c r="A160" s="3">
        <v>159</v>
      </c>
      <c r="B160" s="16" t="s">
        <v>341</v>
      </c>
      <c r="C160" s="16" t="s">
        <v>348</v>
      </c>
      <c r="D160" s="5" t="s">
        <v>350</v>
      </c>
      <c r="E160" s="5" t="s">
        <v>351</v>
      </c>
      <c r="F160" s="3">
        <f t="shared" si="4"/>
        <v>7</v>
      </c>
      <c r="G160" s="3">
        <f t="shared" si="5"/>
        <v>6</v>
      </c>
      <c r="H160" s="6" t="s">
        <v>13</v>
      </c>
      <c r="I160" s="3">
        <v>0</v>
      </c>
    </row>
    <row r="161" spans="1:9" ht="60">
      <c r="A161" s="3">
        <v>160</v>
      </c>
      <c r="B161" s="16" t="s">
        <v>341</v>
      </c>
      <c r="C161" s="16" t="s">
        <v>348</v>
      </c>
      <c r="D161" s="5" t="s">
        <v>352</v>
      </c>
      <c r="E161" s="5" t="s">
        <v>353</v>
      </c>
      <c r="F161" s="3">
        <f t="shared" si="4"/>
        <v>4</v>
      </c>
      <c r="G161" s="3">
        <f t="shared" si="5"/>
        <v>3</v>
      </c>
      <c r="H161" s="6" t="s">
        <v>13</v>
      </c>
      <c r="I161" s="3">
        <v>0</v>
      </c>
    </row>
    <row r="162" spans="1:9" ht="87">
      <c r="A162" s="3">
        <v>161</v>
      </c>
      <c r="B162" s="16" t="s">
        <v>341</v>
      </c>
      <c r="C162" s="16" t="s">
        <v>354</v>
      </c>
      <c r="D162" s="5" t="s">
        <v>355</v>
      </c>
      <c r="E162" s="5" t="s">
        <v>356</v>
      </c>
      <c r="F162" s="3">
        <f t="shared" si="4"/>
        <v>5</v>
      </c>
      <c r="G162" s="3">
        <f t="shared" si="5"/>
        <v>4</v>
      </c>
      <c r="H162" s="6" t="s">
        <v>13</v>
      </c>
      <c r="I162" s="3">
        <v>0</v>
      </c>
    </row>
    <row r="163" spans="1:9" ht="75">
      <c r="A163" s="3">
        <v>162</v>
      </c>
      <c r="B163" s="16" t="s">
        <v>341</v>
      </c>
      <c r="C163" s="16" t="s">
        <v>51</v>
      </c>
      <c r="D163" s="5" t="s">
        <v>357</v>
      </c>
      <c r="E163" s="5" t="s">
        <v>358</v>
      </c>
      <c r="F163" s="3">
        <f t="shared" si="4"/>
        <v>5</v>
      </c>
      <c r="G163" s="3">
        <f t="shared" si="5"/>
        <v>4</v>
      </c>
      <c r="H163" s="6" t="s">
        <v>13</v>
      </c>
      <c r="I163" s="3">
        <v>0</v>
      </c>
    </row>
    <row r="164" spans="1:9" ht="90">
      <c r="A164" s="3">
        <v>163</v>
      </c>
      <c r="B164" s="16" t="s">
        <v>341</v>
      </c>
      <c r="C164" s="16" t="s">
        <v>359</v>
      </c>
      <c r="D164" s="5" t="s">
        <v>360</v>
      </c>
      <c r="E164" s="5" t="s">
        <v>361</v>
      </c>
      <c r="F164" s="3">
        <f t="shared" si="4"/>
        <v>6</v>
      </c>
      <c r="G164" s="3">
        <f t="shared" si="5"/>
        <v>5</v>
      </c>
      <c r="H164" s="6" t="s">
        <v>13</v>
      </c>
      <c r="I164" s="3">
        <v>0</v>
      </c>
    </row>
    <row r="165" spans="1:9" ht="75">
      <c r="A165" s="3">
        <v>164</v>
      </c>
      <c r="B165" s="16" t="s">
        <v>341</v>
      </c>
      <c r="C165" s="16" t="s">
        <v>362</v>
      </c>
      <c r="D165" s="5" t="s">
        <v>363</v>
      </c>
      <c r="E165" s="5" t="s">
        <v>546</v>
      </c>
      <c r="F165" s="3">
        <f t="shared" si="4"/>
        <v>5</v>
      </c>
      <c r="G165" s="3">
        <f t="shared" si="5"/>
        <v>4</v>
      </c>
      <c r="H165" s="6" t="s">
        <v>13</v>
      </c>
      <c r="I165" s="3">
        <v>0</v>
      </c>
    </row>
    <row r="166" spans="1:9" ht="90">
      <c r="A166" s="3">
        <v>165</v>
      </c>
      <c r="B166" s="16" t="s">
        <v>341</v>
      </c>
      <c r="C166" s="16" t="s">
        <v>364</v>
      </c>
      <c r="D166" s="5" t="s">
        <v>365</v>
      </c>
      <c r="E166" s="5" t="s">
        <v>366</v>
      </c>
      <c r="F166" s="3">
        <f t="shared" si="4"/>
        <v>6</v>
      </c>
      <c r="G166" s="3">
        <f t="shared" si="5"/>
        <v>5</v>
      </c>
      <c r="H166" s="6" t="s">
        <v>13</v>
      </c>
      <c r="I166" s="3">
        <v>0</v>
      </c>
    </row>
    <row r="167" spans="1:9" ht="75">
      <c r="A167" s="3">
        <v>166</v>
      </c>
      <c r="B167" s="16" t="s">
        <v>341</v>
      </c>
      <c r="C167" s="16" t="s">
        <v>367</v>
      </c>
      <c r="D167" s="5" t="s">
        <v>368</v>
      </c>
      <c r="E167" s="5" t="s">
        <v>369</v>
      </c>
      <c r="F167" s="3">
        <f t="shared" si="4"/>
        <v>5</v>
      </c>
      <c r="G167" s="3">
        <f t="shared" si="5"/>
        <v>4</v>
      </c>
      <c r="H167" s="6" t="s">
        <v>13</v>
      </c>
      <c r="I167" s="3">
        <v>0</v>
      </c>
    </row>
    <row r="168" spans="1:9" ht="75">
      <c r="A168" s="3">
        <v>167</v>
      </c>
      <c r="B168" s="18" t="s">
        <v>370</v>
      </c>
      <c r="C168" s="19" t="s">
        <v>371</v>
      </c>
      <c r="D168" s="7" t="s">
        <v>372</v>
      </c>
      <c r="E168" s="5" t="s">
        <v>547</v>
      </c>
      <c r="F168" s="3">
        <f t="shared" si="4"/>
        <v>5</v>
      </c>
      <c r="G168" s="3">
        <f t="shared" si="5"/>
        <v>4</v>
      </c>
      <c r="H168" s="6" t="s">
        <v>13</v>
      </c>
      <c r="I168" s="3"/>
    </row>
    <row r="169" spans="1:9" ht="75">
      <c r="A169" s="3">
        <v>168</v>
      </c>
      <c r="B169" s="18" t="s">
        <v>370</v>
      </c>
      <c r="C169" s="18" t="s">
        <v>373</v>
      </c>
      <c r="D169" s="5" t="s">
        <v>374</v>
      </c>
      <c r="E169" s="5" t="s">
        <v>375</v>
      </c>
      <c r="F169" s="3">
        <f t="shared" si="4"/>
        <v>5</v>
      </c>
      <c r="G169" s="3">
        <f t="shared" si="5"/>
        <v>4</v>
      </c>
      <c r="H169" s="6" t="s">
        <v>13</v>
      </c>
      <c r="I169" s="3"/>
    </row>
    <row r="170" spans="1:9" ht="90">
      <c r="A170" s="3">
        <v>169</v>
      </c>
      <c r="B170" s="18" t="s">
        <v>370</v>
      </c>
      <c r="C170" s="18" t="s">
        <v>373</v>
      </c>
      <c r="D170" s="5" t="s">
        <v>376</v>
      </c>
      <c r="E170" s="5" t="s">
        <v>377</v>
      </c>
      <c r="F170" s="3">
        <f t="shared" si="4"/>
        <v>6</v>
      </c>
      <c r="G170" s="3">
        <f t="shared" si="5"/>
        <v>5</v>
      </c>
      <c r="H170" s="6" t="s">
        <v>13</v>
      </c>
      <c r="I170" s="3"/>
    </row>
    <row r="171" spans="1:9" ht="90">
      <c r="A171" s="3">
        <v>170</v>
      </c>
      <c r="B171" s="18" t="s">
        <v>370</v>
      </c>
      <c r="C171" s="18" t="s">
        <v>378</v>
      </c>
      <c r="D171" s="5" t="s">
        <v>379</v>
      </c>
      <c r="E171" s="5" t="s">
        <v>548</v>
      </c>
      <c r="F171" s="3">
        <f t="shared" si="4"/>
        <v>6</v>
      </c>
      <c r="G171" s="3">
        <f t="shared" si="5"/>
        <v>5</v>
      </c>
      <c r="H171" s="6" t="s">
        <v>13</v>
      </c>
      <c r="I171" s="3">
        <v>0</v>
      </c>
    </row>
    <row r="172" spans="1:9" ht="34">
      <c r="A172" s="3">
        <v>171</v>
      </c>
      <c r="B172" s="18" t="s">
        <v>370</v>
      </c>
      <c r="C172" s="18" t="s">
        <v>380</v>
      </c>
      <c r="D172" s="5" t="s">
        <v>550</v>
      </c>
      <c r="E172" s="5" t="s">
        <v>549</v>
      </c>
      <c r="F172" s="3">
        <f t="shared" si="4"/>
        <v>2</v>
      </c>
      <c r="G172" s="3">
        <f t="shared" si="5"/>
        <v>2</v>
      </c>
      <c r="H172" s="6" t="s">
        <v>13</v>
      </c>
      <c r="I172" s="3"/>
    </row>
    <row r="173" spans="1:9" ht="68">
      <c r="A173" s="3">
        <v>172</v>
      </c>
      <c r="B173" s="18" t="s">
        <v>370</v>
      </c>
      <c r="C173" s="18" t="s">
        <v>381</v>
      </c>
      <c r="D173" s="5" t="s">
        <v>382</v>
      </c>
      <c r="E173" s="5" t="s">
        <v>383</v>
      </c>
      <c r="F173" s="3">
        <f t="shared" si="4"/>
        <v>4</v>
      </c>
      <c r="G173" s="3">
        <f t="shared" si="5"/>
        <v>3</v>
      </c>
      <c r="H173" s="6" t="s">
        <v>13</v>
      </c>
      <c r="I173" s="3"/>
    </row>
    <row r="174" spans="1:9" ht="98">
      <c r="A174" s="3">
        <v>173</v>
      </c>
      <c r="B174" s="18" t="s">
        <v>370</v>
      </c>
      <c r="C174" s="18" t="s">
        <v>127</v>
      </c>
      <c r="D174" s="5" t="s">
        <v>384</v>
      </c>
      <c r="E174" s="5" t="s">
        <v>385</v>
      </c>
      <c r="F174" s="3">
        <f t="shared" si="4"/>
        <v>6</v>
      </c>
      <c r="G174" s="3">
        <f t="shared" si="5"/>
        <v>5</v>
      </c>
      <c r="H174" s="6" t="s">
        <v>13</v>
      </c>
      <c r="I174" s="3"/>
    </row>
    <row r="175" spans="1:9" ht="75">
      <c r="A175" s="3">
        <v>174</v>
      </c>
      <c r="B175" s="18" t="s">
        <v>370</v>
      </c>
      <c r="C175" s="18" t="s">
        <v>35</v>
      </c>
      <c r="D175" s="5" t="s">
        <v>386</v>
      </c>
      <c r="E175" s="5" t="s">
        <v>387</v>
      </c>
      <c r="F175" s="3">
        <f t="shared" si="4"/>
        <v>5</v>
      </c>
      <c r="G175" s="3">
        <f t="shared" si="5"/>
        <v>4</v>
      </c>
      <c r="H175" s="6" t="s">
        <v>13</v>
      </c>
      <c r="I175" s="3"/>
    </row>
    <row r="176" spans="1:9" ht="79">
      <c r="A176" s="3">
        <v>175</v>
      </c>
      <c r="B176" s="18" t="s">
        <v>370</v>
      </c>
      <c r="C176" s="18" t="s">
        <v>388</v>
      </c>
      <c r="D176" s="7" t="s">
        <v>389</v>
      </c>
      <c r="E176" s="5" t="s">
        <v>390</v>
      </c>
      <c r="F176" s="3">
        <f t="shared" si="4"/>
        <v>5</v>
      </c>
      <c r="G176" s="3">
        <f t="shared" si="5"/>
        <v>4</v>
      </c>
      <c r="H176" s="6" t="s">
        <v>13</v>
      </c>
      <c r="I176" s="3"/>
    </row>
    <row r="177" spans="1:9" ht="79">
      <c r="A177" s="3">
        <v>176</v>
      </c>
      <c r="B177" s="18" t="s">
        <v>370</v>
      </c>
      <c r="C177" s="18" t="s">
        <v>391</v>
      </c>
      <c r="D177" s="5" t="s">
        <v>392</v>
      </c>
      <c r="E177" s="5" t="s">
        <v>393</v>
      </c>
      <c r="F177" s="3">
        <f t="shared" si="4"/>
        <v>5</v>
      </c>
      <c r="G177" s="3">
        <f t="shared" si="5"/>
        <v>4</v>
      </c>
      <c r="H177" s="6" t="s">
        <v>13</v>
      </c>
      <c r="I177" s="3">
        <v>0</v>
      </c>
    </row>
    <row r="178" spans="1:9" ht="144">
      <c r="A178" s="3">
        <v>177</v>
      </c>
      <c r="B178" s="18" t="s">
        <v>370</v>
      </c>
      <c r="C178" s="18" t="s">
        <v>394</v>
      </c>
      <c r="D178" s="5" t="s">
        <v>395</v>
      </c>
      <c r="E178" s="5" t="s">
        <v>396</v>
      </c>
      <c r="F178" s="3">
        <f t="shared" si="4"/>
        <v>8</v>
      </c>
      <c r="G178" s="3">
        <f t="shared" si="5"/>
        <v>6</v>
      </c>
      <c r="H178" s="6" t="s">
        <v>13</v>
      </c>
      <c r="I178" s="3"/>
    </row>
    <row r="179" spans="1:9" ht="76">
      <c r="A179" s="3">
        <v>178</v>
      </c>
      <c r="B179" s="18" t="s">
        <v>370</v>
      </c>
      <c r="C179" s="18" t="s">
        <v>342</v>
      </c>
      <c r="D179" s="7" t="s">
        <v>397</v>
      </c>
      <c r="E179" s="5" t="s">
        <v>398</v>
      </c>
      <c r="F179" s="3">
        <f t="shared" si="4"/>
        <v>4</v>
      </c>
      <c r="G179" s="3">
        <f t="shared" si="5"/>
        <v>3</v>
      </c>
      <c r="H179" s="6" t="s">
        <v>13</v>
      </c>
      <c r="I179" s="3"/>
    </row>
    <row r="180" spans="1:9" ht="45">
      <c r="A180" s="3">
        <v>179</v>
      </c>
      <c r="B180" s="18" t="s">
        <v>370</v>
      </c>
      <c r="C180" s="18" t="s">
        <v>399</v>
      </c>
      <c r="D180" s="5" t="s">
        <v>551</v>
      </c>
      <c r="E180" s="5" t="s">
        <v>552</v>
      </c>
      <c r="F180" s="3">
        <f t="shared" si="4"/>
        <v>3</v>
      </c>
      <c r="G180" s="3">
        <f t="shared" si="5"/>
        <v>3</v>
      </c>
      <c r="H180" s="6" t="s">
        <v>13</v>
      </c>
      <c r="I180" s="3"/>
    </row>
    <row r="181" spans="1:9" ht="91">
      <c r="A181" s="3">
        <v>180</v>
      </c>
      <c r="B181" s="20" t="s">
        <v>400</v>
      </c>
      <c r="C181" s="20" t="s">
        <v>401</v>
      </c>
      <c r="D181" s="5" t="s">
        <v>402</v>
      </c>
      <c r="E181" s="5" t="s">
        <v>403</v>
      </c>
      <c r="F181" s="3">
        <f t="shared" si="4"/>
        <v>5</v>
      </c>
      <c r="G181" s="3">
        <f t="shared" si="5"/>
        <v>4</v>
      </c>
      <c r="H181" s="6" t="s">
        <v>13</v>
      </c>
      <c r="I181" s="3">
        <v>0</v>
      </c>
    </row>
    <row r="182" spans="1:9" ht="109">
      <c r="A182" s="3">
        <v>181</v>
      </c>
      <c r="B182" s="20" t="s">
        <v>400</v>
      </c>
      <c r="C182" s="20" t="s">
        <v>41</v>
      </c>
      <c r="D182" s="5" t="s">
        <v>404</v>
      </c>
      <c r="E182" s="5" t="s">
        <v>405</v>
      </c>
      <c r="F182" s="3">
        <f t="shared" ref="F182:F245" si="6">IF(E182="",0,LEN(E182)-LEN(SUBSTITUTE(E182,CHAR(10),""))+1)</f>
        <v>7</v>
      </c>
      <c r="G182" s="3">
        <f t="shared" ref="G182:G245" si="7">MAX(1,ROUNDUP(F182*0.75,0))</f>
        <v>6</v>
      </c>
      <c r="H182" s="6" t="s">
        <v>13</v>
      </c>
      <c r="I182" s="3"/>
    </row>
    <row r="183" spans="1:9" ht="91">
      <c r="A183" s="3">
        <v>182</v>
      </c>
      <c r="B183" s="20" t="s">
        <v>400</v>
      </c>
      <c r="C183" s="20" t="s">
        <v>41</v>
      </c>
      <c r="D183" s="5" t="s">
        <v>406</v>
      </c>
      <c r="E183" s="5" t="s">
        <v>553</v>
      </c>
      <c r="F183" s="3">
        <f t="shared" si="6"/>
        <v>5</v>
      </c>
      <c r="G183" s="3">
        <f t="shared" si="7"/>
        <v>4</v>
      </c>
      <c r="H183" s="6" t="s">
        <v>13</v>
      </c>
      <c r="I183" s="3">
        <v>0</v>
      </c>
    </row>
    <row r="184" spans="1:9" ht="94">
      <c r="A184" s="3">
        <v>183</v>
      </c>
      <c r="B184" s="20" t="s">
        <v>400</v>
      </c>
      <c r="C184" s="20" t="s">
        <v>51</v>
      </c>
      <c r="D184" s="5" t="s">
        <v>407</v>
      </c>
      <c r="E184" s="5" t="s">
        <v>554</v>
      </c>
      <c r="F184" s="3">
        <f t="shared" si="6"/>
        <v>6</v>
      </c>
      <c r="G184" s="3">
        <f t="shared" si="7"/>
        <v>5</v>
      </c>
      <c r="H184" s="6" t="s">
        <v>13</v>
      </c>
      <c r="I184" s="3">
        <v>0</v>
      </c>
    </row>
    <row r="185" spans="1:9" ht="91">
      <c r="A185" s="3">
        <v>184</v>
      </c>
      <c r="B185" s="20" t="s">
        <v>400</v>
      </c>
      <c r="C185" s="20" t="s">
        <v>31</v>
      </c>
      <c r="D185" s="5" t="s">
        <v>408</v>
      </c>
      <c r="E185" s="5" t="s">
        <v>409</v>
      </c>
      <c r="F185" s="3">
        <f t="shared" si="6"/>
        <v>5</v>
      </c>
      <c r="G185" s="3">
        <f t="shared" si="7"/>
        <v>4</v>
      </c>
      <c r="H185" s="6" t="s">
        <v>13</v>
      </c>
      <c r="I185" s="3">
        <v>0</v>
      </c>
    </row>
    <row r="186" spans="1:9" ht="79">
      <c r="A186" s="3">
        <v>185</v>
      </c>
      <c r="B186" s="20" t="s">
        <v>400</v>
      </c>
      <c r="C186" s="20" t="s">
        <v>23</v>
      </c>
      <c r="D186" s="5" t="s">
        <v>410</v>
      </c>
      <c r="E186" s="5" t="s">
        <v>411</v>
      </c>
      <c r="F186" s="3">
        <f t="shared" si="6"/>
        <v>5</v>
      </c>
      <c r="G186" s="3">
        <f t="shared" si="7"/>
        <v>4</v>
      </c>
      <c r="H186" s="6" t="s">
        <v>13</v>
      </c>
      <c r="I186" s="3">
        <v>0</v>
      </c>
    </row>
    <row r="187" spans="1:9" ht="106">
      <c r="A187" s="3">
        <v>186</v>
      </c>
      <c r="B187" s="20" t="s">
        <v>400</v>
      </c>
      <c r="C187" s="20" t="s">
        <v>412</v>
      </c>
      <c r="D187" s="5" t="s">
        <v>413</v>
      </c>
      <c r="E187" s="5" t="s">
        <v>414</v>
      </c>
      <c r="F187" s="3">
        <f t="shared" si="6"/>
        <v>6</v>
      </c>
      <c r="G187" s="3">
        <f t="shared" si="7"/>
        <v>5</v>
      </c>
      <c r="H187" s="6" t="s">
        <v>13</v>
      </c>
      <c r="I187" s="3">
        <v>0</v>
      </c>
    </row>
    <row r="188" spans="1:9" ht="110">
      <c r="A188" s="3">
        <v>187</v>
      </c>
      <c r="B188" s="20" t="s">
        <v>400</v>
      </c>
      <c r="C188" s="20" t="s">
        <v>415</v>
      </c>
      <c r="D188" s="5" t="s">
        <v>416</v>
      </c>
      <c r="E188" s="5" t="s">
        <v>417</v>
      </c>
      <c r="F188" s="3">
        <f t="shared" si="6"/>
        <v>6</v>
      </c>
      <c r="G188" s="3">
        <f t="shared" si="7"/>
        <v>5</v>
      </c>
      <c r="H188" s="6" t="s">
        <v>13</v>
      </c>
      <c r="I188" s="3">
        <v>0</v>
      </c>
    </row>
    <row r="189" spans="1:9" ht="75">
      <c r="A189" s="3">
        <v>188</v>
      </c>
      <c r="B189" s="20" t="s">
        <v>400</v>
      </c>
      <c r="C189" s="20" t="s">
        <v>46</v>
      </c>
      <c r="D189" s="5" t="s">
        <v>418</v>
      </c>
      <c r="E189" s="5" t="s">
        <v>419</v>
      </c>
      <c r="F189" s="3">
        <f t="shared" si="6"/>
        <v>5</v>
      </c>
      <c r="G189" s="3">
        <f t="shared" si="7"/>
        <v>4</v>
      </c>
      <c r="H189" s="6" t="s">
        <v>13</v>
      </c>
      <c r="I189" s="3">
        <v>0</v>
      </c>
    </row>
    <row r="190" spans="1:9" ht="109">
      <c r="A190" s="3">
        <v>189</v>
      </c>
      <c r="B190" s="20" t="s">
        <v>400</v>
      </c>
      <c r="C190" s="20" t="s">
        <v>152</v>
      </c>
      <c r="D190" s="5" t="s">
        <v>420</v>
      </c>
      <c r="E190" s="5" t="s">
        <v>421</v>
      </c>
      <c r="F190" s="3">
        <f t="shared" si="6"/>
        <v>7</v>
      </c>
      <c r="G190" s="3">
        <f t="shared" si="7"/>
        <v>6</v>
      </c>
      <c r="H190" s="6" t="s">
        <v>13</v>
      </c>
      <c r="I190" s="3">
        <v>0</v>
      </c>
    </row>
    <row r="191" spans="1:9" ht="83">
      <c r="A191" s="3">
        <v>190</v>
      </c>
      <c r="B191" s="20" t="s">
        <v>400</v>
      </c>
      <c r="C191" s="20" t="s">
        <v>152</v>
      </c>
      <c r="D191" s="5" t="s">
        <v>422</v>
      </c>
      <c r="E191" s="5" t="s">
        <v>423</v>
      </c>
      <c r="F191" s="3">
        <f t="shared" si="6"/>
        <v>5</v>
      </c>
      <c r="G191" s="3">
        <f t="shared" si="7"/>
        <v>4</v>
      </c>
      <c r="H191" s="6" t="s">
        <v>13</v>
      </c>
      <c r="I191" s="3">
        <v>0</v>
      </c>
    </row>
    <row r="192" spans="1:9" ht="79">
      <c r="A192" s="3">
        <v>191</v>
      </c>
      <c r="B192" s="20" t="s">
        <v>400</v>
      </c>
      <c r="C192" s="20" t="s">
        <v>424</v>
      </c>
      <c r="D192" s="5" t="s">
        <v>425</v>
      </c>
      <c r="E192" s="5" t="s">
        <v>426</v>
      </c>
      <c r="F192" s="3">
        <f t="shared" si="6"/>
        <v>5</v>
      </c>
      <c r="G192" s="3">
        <f t="shared" si="7"/>
        <v>4</v>
      </c>
      <c r="H192" s="6" t="s">
        <v>13</v>
      </c>
      <c r="I192" s="3">
        <v>0</v>
      </c>
    </row>
    <row r="193" spans="1:9" ht="75">
      <c r="A193" s="3">
        <v>192</v>
      </c>
      <c r="B193" s="20" t="s">
        <v>400</v>
      </c>
      <c r="C193" s="20" t="s">
        <v>35</v>
      </c>
      <c r="D193" s="5" t="s">
        <v>427</v>
      </c>
      <c r="E193" s="5" t="s">
        <v>428</v>
      </c>
      <c r="F193" s="3">
        <f t="shared" si="6"/>
        <v>5</v>
      </c>
      <c r="G193" s="3">
        <f t="shared" si="7"/>
        <v>4</v>
      </c>
      <c r="H193" s="6" t="s">
        <v>13</v>
      </c>
      <c r="I193" s="3">
        <v>0</v>
      </c>
    </row>
    <row r="194" spans="1:9" ht="90">
      <c r="A194" s="3">
        <v>193</v>
      </c>
      <c r="B194" s="20" t="s">
        <v>400</v>
      </c>
      <c r="C194" s="20" t="s">
        <v>429</v>
      </c>
      <c r="D194" s="5" t="s">
        <v>430</v>
      </c>
      <c r="E194" s="5" t="s">
        <v>431</v>
      </c>
      <c r="F194" s="3">
        <f t="shared" si="6"/>
        <v>6</v>
      </c>
      <c r="G194" s="3">
        <f t="shared" si="7"/>
        <v>5</v>
      </c>
      <c r="H194" s="6" t="s">
        <v>13</v>
      </c>
      <c r="I194" s="3">
        <v>0</v>
      </c>
    </row>
    <row r="195" spans="1:9" ht="90">
      <c r="A195" s="3">
        <v>194</v>
      </c>
      <c r="B195" s="20" t="s">
        <v>400</v>
      </c>
      <c r="C195" s="20" t="s">
        <v>306</v>
      </c>
      <c r="D195" s="5" t="s">
        <v>432</v>
      </c>
      <c r="E195" s="5" t="s">
        <v>433</v>
      </c>
      <c r="F195" s="3">
        <f t="shared" si="6"/>
        <v>6</v>
      </c>
      <c r="G195" s="3">
        <f t="shared" si="7"/>
        <v>5</v>
      </c>
      <c r="H195" s="6" t="s">
        <v>13</v>
      </c>
      <c r="I195" s="3">
        <v>0</v>
      </c>
    </row>
    <row r="196" spans="1:9" ht="83">
      <c r="A196" s="3">
        <v>195</v>
      </c>
      <c r="B196" s="14" t="s">
        <v>310</v>
      </c>
      <c r="C196" s="14" t="s">
        <v>313</v>
      </c>
      <c r="D196" s="5" t="s">
        <v>532</v>
      </c>
      <c r="E196" s="5" t="s">
        <v>533</v>
      </c>
      <c r="F196" s="3">
        <f t="shared" si="6"/>
        <v>5</v>
      </c>
      <c r="G196" s="3">
        <f t="shared" si="7"/>
        <v>4</v>
      </c>
      <c r="H196" s="6" t="s">
        <v>13</v>
      </c>
      <c r="I196" s="3"/>
    </row>
    <row r="197" spans="1:9" ht="30">
      <c r="A197" s="3">
        <v>196</v>
      </c>
      <c r="B197" s="14" t="s">
        <v>310</v>
      </c>
      <c r="C197" s="14" t="s">
        <v>338</v>
      </c>
      <c r="D197" s="5" t="s">
        <v>539</v>
      </c>
      <c r="E197" s="5" t="s">
        <v>540</v>
      </c>
      <c r="F197" s="3">
        <f t="shared" si="6"/>
        <v>2</v>
      </c>
      <c r="G197" s="3">
        <f t="shared" si="7"/>
        <v>2</v>
      </c>
      <c r="H197" s="6" t="s">
        <v>13</v>
      </c>
      <c r="I197" s="3"/>
    </row>
    <row r="198" spans="1:9" ht="18">
      <c r="A198" s="3">
        <v>197</v>
      </c>
      <c r="B198" s="4" t="s">
        <v>9</v>
      </c>
      <c r="C198" s="4" t="s">
        <v>19</v>
      </c>
      <c r="D198" s="5" t="s">
        <v>557</v>
      </c>
      <c r="E198" s="5" t="s">
        <v>558</v>
      </c>
      <c r="F198" s="3">
        <f t="shared" si="6"/>
        <v>1</v>
      </c>
      <c r="G198" s="3">
        <f t="shared" si="7"/>
        <v>1</v>
      </c>
      <c r="H198" s="6" t="s">
        <v>13</v>
      </c>
      <c r="I198" s="3"/>
    </row>
    <row r="199" spans="1:9" ht="18">
      <c r="A199" s="3">
        <v>198</v>
      </c>
      <c r="B199" s="4" t="s">
        <v>9</v>
      </c>
      <c r="C199" s="4" t="s">
        <v>23</v>
      </c>
      <c r="D199" s="5" t="s">
        <v>561</v>
      </c>
      <c r="E199" s="5" t="s">
        <v>562</v>
      </c>
      <c r="F199" s="3">
        <f t="shared" si="6"/>
        <v>1</v>
      </c>
      <c r="G199" s="3">
        <f t="shared" si="7"/>
        <v>1</v>
      </c>
      <c r="H199" s="6" t="s">
        <v>13</v>
      </c>
      <c r="I199" s="3"/>
    </row>
    <row r="200" spans="1:9" ht="30">
      <c r="A200" s="3">
        <v>199</v>
      </c>
      <c r="B200" s="4" t="s">
        <v>9</v>
      </c>
      <c r="C200" s="4" t="s">
        <v>556</v>
      </c>
      <c r="D200" s="5" t="s">
        <v>563</v>
      </c>
      <c r="E200" s="5" t="s">
        <v>564</v>
      </c>
      <c r="F200" s="3">
        <f t="shared" si="6"/>
        <v>2</v>
      </c>
      <c r="G200" s="3">
        <f t="shared" si="7"/>
        <v>2</v>
      </c>
      <c r="H200" s="6" t="s">
        <v>13</v>
      </c>
      <c r="I200" s="3"/>
    </row>
    <row r="201" spans="1:9" ht="18">
      <c r="A201" s="3">
        <v>200</v>
      </c>
      <c r="B201" s="4" t="s">
        <v>9</v>
      </c>
      <c r="C201" s="4" t="s">
        <v>19</v>
      </c>
      <c r="D201" s="5" t="s">
        <v>559</v>
      </c>
      <c r="E201" s="5" t="s">
        <v>560</v>
      </c>
      <c r="F201" s="3">
        <f t="shared" si="6"/>
        <v>1</v>
      </c>
      <c r="G201" s="3">
        <f t="shared" si="7"/>
        <v>1</v>
      </c>
      <c r="H201" s="6" t="s">
        <v>13</v>
      </c>
      <c r="I201" s="3"/>
    </row>
    <row r="202" spans="1:9" ht="18">
      <c r="A202" s="3">
        <v>201</v>
      </c>
      <c r="I202" s="3"/>
    </row>
    <row r="203" spans="1:9" ht="18">
      <c r="A203" s="3">
        <v>202</v>
      </c>
      <c r="I203" s="3"/>
    </row>
    <row r="204" spans="1:9" ht="18">
      <c r="A204" s="3">
        <v>203</v>
      </c>
      <c r="I204" s="3"/>
    </row>
    <row r="205" spans="1:9" ht="18">
      <c r="A205" s="3">
        <v>204</v>
      </c>
      <c r="I205" s="3"/>
    </row>
    <row r="206" spans="1:9" ht="18">
      <c r="A206" s="3">
        <v>205</v>
      </c>
    </row>
    <row r="207" spans="1:9" ht="18">
      <c r="A207" s="3">
        <v>206</v>
      </c>
    </row>
  </sheetData>
  <autoFilter ref="A1:I207" xr:uid="{00000000-0009-0000-0000-000000000000}"/>
  <phoneticPr fontId="8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7"/>
  <sheetViews>
    <sheetView tabSelected="1" zoomScaleNormal="100" workbookViewId="0">
      <pane ySplit="1" topLeftCell="A189" activePane="bottomLeft" state="frozen"/>
      <selection pane="bottomLeft" activeCell="E201" sqref="E201"/>
    </sheetView>
  </sheetViews>
  <sheetFormatPr baseColWidth="10" defaultColWidth="8.6640625" defaultRowHeight="15"/>
  <cols>
    <col min="1" max="1" width="5" customWidth="1"/>
    <col min="2" max="2" width="14" customWidth="1"/>
    <col min="3" max="3" width="50" customWidth="1"/>
    <col min="4" max="4" width="8" customWidth="1"/>
    <col min="5" max="5" width="46" customWidth="1"/>
    <col min="6" max="6" width="6" customWidth="1"/>
  </cols>
  <sheetData>
    <row r="1" spans="1:6" ht="18">
      <c r="A1" s="21" t="s">
        <v>0</v>
      </c>
      <c r="B1" s="22" t="s">
        <v>434</v>
      </c>
      <c r="C1" s="22" t="s">
        <v>3</v>
      </c>
      <c r="D1" s="22" t="s">
        <v>435</v>
      </c>
      <c r="E1" s="22" t="s">
        <v>436</v>
      </c>
      <c r="F1" s="22" t="s">
        <v>437</v>
      </c>
    </row>
    <row r="2" spans="1:6" ht="33.75" customHeight="1">
      <c r="A2" s="23">
        <f>問題一覧!A2</f>
        <v>1</v>
      </c>
      <c r="B2" s="23" t="str">
        <f>問題一覧!B2</f>
        <v>術中維持の基本</v>
      </c>
      <c r="C2" s="7" t="str">
        <f>問題一覧!D2</f>
        <v>全身麻酔の維持で満たすべき3要素は。</v>
      </c>
      <c r="D2" s="23" t="str">
        <f>問題一覧!G2&amp;"個"</f>
        <v>3個</v>
      </c>
      <c r="E2" s="7"/>
      <c r="F2" s="23"/>
    </row>
    <row r="3" spans="1:6" ht="33.75" customHeight="1">
      <c r="A3" s="23">
        <f>問題一覧!A3</f>
        <v>2</v>
      </c>
      <c r="B3" s="23" t="str">
        <f>問題一覧!B3</f>
        <v>術中維持の基本</v>
      </c>
      <c r="C3" s="7" t="str">
        <f>問題一覧!D3</f>
        <v>全身麻酔中の必須モニタを挙げよ。</v>
      </c>
      <c r="D3" s="23" t="str">
        <f>問題一覧!G3&amp;"個"</f>
        <v>4個</v>
      </c>
      <c r="E3" s="7"/>
      <c r="F3" s="23"/>
    </row>
    <row r="4" spans="1:6" ht="33.75" customHeight="1">
      <c r="A4" s="23">
        <f>問題一覧!A4</f>
        <v>3</v>
      </c>
      <c r="B4" s="23" t="str">
        <f>問題一覧!B4</f>
        <v>術中維持の基本</v>
      </c>
      <c r="C4" s="7" t="str">
        <f>問題一覧!D4</f>
        <v>麻酔が浅いことを示唆する所見は。</v>
      </c>
      <c r="D4" s="23" t="str">
        <f>問題一覧!G4&amp;"個"</f>
        <v>6個</v>
      </c>
      <c r="E4" s="7"/>
      <c r="F4" s="23"/>
    </row>
    <row r="5" spans="1:6" ht="33.75" customHeight="1">
      <c r="A5" s="23">
        <f>問題一覧!A5</f>
        <v>4</v>
      </c>
      <c r="B5" s="23" t="str">
        <f>問題一覧!B5</f>
        <v>術中維持の基本</v>
      </c>
      <c r="C5" s="7" t="str">
        <f>問題一覧!D5</f>
        <v>MAC 1.0とは何か。代表的な薬の値は。</v>
      </c>
      <c r="D5" s="23" t="str">
        <f>問題一覧!G5&amp;"個"</f>
        <v>3個</v>
      </c>
      <c r="E5" s="7"/>
      <c r="F5" s="23"/>
    </row>
    <row r="6" spans="1:6" ht="33.75" customHeight="1">
      <c r="A6" s="23">
        <f>問題一覧!A6</f>
        <v>5</v>
      </c>
      <c r="B6" s="23" t="str">
        <f>問題一覧!B6</f>
        <v>術中維持の基本</v>
      </c>
      <c r="C6" s="7" t="str">
        <f>問題一覧!D6</f>
        <v>MACを低下させる因子を挙げよ。</v>
      </c>
      <c r="D6" s="23" t="str">
        <f>問題一覧!G6&amp;"個"</f>
        <v>5個</v>
      </c>
      <c r="E6" s="7"/>
      <c r="F6" s="23"/>
    </row>
    <row r="7" spans="1:6" ht="33.75" customHeight="1">
      <c r="A7" s="23">
        <f>問題一覧!A7</f>
        <v>6</v>
      </c>
      <c r="B7" s="23" t="str">
        <f>問題一覧!B7</f>
        <v>術中維持の基本</v>
      </c>
      <c r="C7" s="7" t="str">
        <f>問題一覧!D7</f>
        <v>術中に血圧が低下した。鑑別は。</v>
      </c>
      <c r="D7" s="23" t="str">
        <f>問題一覧!G7&amp;"個"</f>
        <v>6個</v>
      </c>
      <c r="E7" s="7"/>
      <c r="F7" s="23"/>
    </row>
    <row r="8" spans="1:6" ht="33.75" customHeight="1">
      <c r="A8" s="23">
        <f>問題一覧!A8</f>
        <v>7</v>
      </c>
      <c r="B8" s="23" t="str">
        <f>問題一覧!B8</f>
        <v>術中維持の基本</v>
      </c>
      <c r="C8" s="7" t="str">
        <f>問題一覧!D8</f>
        <v>術中の頻脈の鑑別を挙げよ。</v>
      </c>
      <c r="D8" s="23" t="str">
        <f>問題一覧!G8&amp;"個"</f>
        <v>6個</v>
      </c>
      <c r="E8" s="7"/>
      <c r="F8" s="23"/>
    </row>
    <row r="9" spans="1:6" ht="33.75" customHeight="1">
      <c r="A9" s="23">
        <f>問題一覧!A9</f>
        <v>8</v>
      </c>
      <c r="B9" s="23" t="str">
        <f>問題一覧!B9</f>
        <v>術中維持の基本</v>
      </c>
      <c r="C9" s="7" t="str">
        <f>問題一覧!D9</f>
        <v>術中の徐脈の原因は。</v>
      </c>
      <c r="D9" s="23" t="str">
        <f>問題一覧!G9&amp;"個"</f>
        <v>3個</v>
      </c>
      <c r="E9" s="7"/>
      <c r="F9" s="23"/>
    </row>
    <row r="10" spans="1:6" ht="33.75" customHeight="1">
      <c r="A10" s="23">
        <f>問題一覧!A10</f>
        <v>9</v>
      </c>
      <c r="B10" s="23" t="str">
        <f>問題一覧!B10</f>
        <v>術中維持の基本</v>
      </c>
      <c r="C10" s="7" t="str">
        <f>問題一覧!D10</f>
        <v>術中にEtCO2が上昇した。対応は。</v>
      </c>
      <c r="D10" s="23" t="str">
        <f>問題一覧!G10&amp;"個"</f>
        <v>5個</v>
      </c>
      <c r="E10" s="7"/>
      <c r="F10" s="23"/>
    </row>
    <row r="11" spans="1:6" ht="33.75" customHeight="1">
      <c r="A11" s="23">
        <f>問題一覧!A11</f>
        <v>10</v>
      </c>
      <c r="B11" s="23" t="str">
        <f>問題一覧!B11</f>
        <v>術中維持の基本</v>
      </c>
      <c r="C11" s="7" t="str">
        <f>問題一覧!D11</f>
        <v>術中にEtCO2が急に低下した。鑑別は。</v>
      </c>
      <c r="D11" s="23" t="str">
        <f>問題一覧!G11&amp;"個"</f>
        <v>5個</v>
      </c>
      <c r="E11" s="7"/>
      <c r="F11" s="23"/>
    </row>
    <row r="12" spans="1:6" ht="33.75" customHeight="1">
      <c r="A12" s="23">
        <f>問題一覧!A12</f>
        <v>11</v>
      </c>
      <c r="B12" s="23" t="str">
        <f>問題一覧!B12</f>
        <v>術中維持の基本</v>
      </c>
      <c r="C12" s="7" t="str">
        <f>問題一覧!D12</f>
        <v>術中輸液の基本的な考え方は。</v>
      </c>
      <c r="D12" s="23" t="str">
        <f>問題一覧!G12&amp;"個"</f>
        <v>4個</v>
      </c>
      <c r="E12" s="7"/>
      <c r="F12" s="23"/>
    </row>
    <row r="13" spans="1:6" ht="33.75" customHeight="1">
      <c r="A13" s="23">
        <f>問題一覧!A13</f>
        <v>12</v>
      </c>
      <c r="B13" s="23" t="str">
        <f>問題一覧!B13</f>
        <v>術中維持の基本</v>
      </c>
      <c r="C13" s="7" t="str">
        <f>問題一覧!D13</f>
        <v>術中の尿量が少ないときに考えることは。</v>
      </c>
      <c r="D13" s="23" t="str">
        <f>問題一覧!G13&amp;"個"</f>
        <v>4個</v>
      </c>
      <c r="E13" s="7"/>
      <c r="F13" s="23"/>
    </row>
    <row r="14" spans="1:6" ht="33.75" customHeight="1">
      <c r="A14" s="23">
        <f>問題一覧!A14</f>
        <v>13</v>
      </c>
      <c r="B14" s="23" t="str">
        <f>問題一覧!B14</f>
        <v>術中維持の基本</v>
      </c>
      <c r="C14" s="7" t="str">
        <f>問題一覧!D14</f>
        <v>術中低体温を防ぐ方法は。</v>
      </c>
      <c r="D14" s="23" t="str">
        <f>問題一覧!G14&amp;"個"</f>
        <v>4個</v>
      </c>
      <c r="E14" s="7"/>
      <c r="F14" s="23"/>
    </row>
    <row r="15" spans="1:6" ht="33.75" customHeight="1">
      <c r="A15" s="23">
        <f>問題一覧!A15</f>
        <v>14</v>
      </c>
      <c r="B15" s="23" t="str">
        <f>問題一覧!B15</f>
        <v>術中維持の基本</v>
      </c>
      <c r="C15" s="7" t="str">
        <f>問題一覧!D15</f>
        <v>術中低体温による弊害は。</v>
      </c>
      <c r="D15" s="23" t="str">
        <f>問題一覧!G15&amp;"個"</f>
        <v>4個</v>
      </c>
      <c r="E15" s="7"/>
      <c r="F15" s="23"/>
    </row>
    <row r="16" spans="1:6" ht="33.75" customHeight="1">
      <c r="A16" s="23">
        <f>問題一覧!A16</f>
        <v>15</v>
      </c>
      <c r="B16" s="23" t="str">
        <f>問題一覧!B16</f>
        <v>術中維持の基本</v>
      </c>
      <c r="C16" s="7" t="str">
        <f>問題一覧!D16</f>
        <v>大量出血時の輸血の目安は。</v>
      </c>
      <c r="D16" s="23" t="str">
        <f>問題一覧!G16&amp;"個"</f>
        <v>4個</v>
      </c>
      <c r="E16" s="7"/>
      <c r="F16" s="23"/>
    </row>
    <row r="17" spans="1:6" ht="33.75" customHeight="1">
      <c r="A17" s="23">
        <f>問題一覧!A17</f>
        <v>16</v>
      </c>
      <c r="B17" s="23" t="str">
        <f>問題一覧!B17</f>
        <v>術中維持の基本</v>
      </c>
      <c r="C17" s="7" t="str">
        <f>問題一覧!D17</f>
        <v>気管挿管の直後に確認することは。</v>
      </c>
      <c r="D17" s="23" t="str">
        <f>問題一覧!G17&amp;"個"</f>
        <v>4個</v>
      </c>
      <c r="E17" s="7"/>
      <c r="F17" s="23"/>
    </row>
    <row r="18" spans="1:6" ht="33.75" customHeight="1">
      <c r="A18" s="23">
        <f>問題一覧!A18</f>
        <v>17</v>
      </c>
      <c r="B18" s="23" t="str">
        <f>問題一覧!B18</f>
        <v>術中維持の基本</v>
      </c>
      <c r="C18" s="7" t="str">
        <f>問題一覧!D18</f>
        <v>体位変換の直後に確認することは。</v>
      </c>
      <c r="D18" s="23" t="str">
        <f>問題一覧!G18&amp;"個"</f>
        <v>5個</v>
      </c>
      <c r="E18" s="7"/>
      <c r="F18" s="23"/>
    </row>
    <row r="19" spans="1:6" ht="33.75" customHeight="1">
      <c r="A19" s="23">
        <f>問題一覧!A19</f>
        <v>18</v>
      </c>
      <c r="B19" s="23" t="str">
        <f>問題一覧!B19</f>
        <v>術中維持の基本</v>
      </c>
      <c r="C19" s="7" t="str">
        <f>問題一覧!D19</f>
        <v>覚醒遅延の鑑別を挙げよ。</v>
      </c>
      <c r="D19" s="23" t="str">
        <f>問題一覧!G19&amp;"個"</f>
        <v>5個</v>
      </c>
      <c r="E19" s="7"/>
      <c r="F19" s="23"/>
    </row>
    <row r="20" spans="1:6" ht="33.75" customHeight="1">
      <c r="A20" s="23">
        <f>問題一覧!A20</f>
        <v>19</v>
      </c>
      <c r="B20" s="23" t="str">
        <f>問題一覧!B20</f>
        <v>術中維持の基本</v>
      </c>
      <c r="C20" s="7" t="str">
        <f>問題一覧!D20</f>
        <v>抜管の基準を挙げよ。</v>
      </c>
      <c r="D20" s="23" t="str">
        <f>問題一覧!G20&amp;"個"</f>
        <v>6個</v>
      </c>
      <c r="E20" s="7"/>
      <c r="F20" s="23"/>
    </row>
    <row r="21" spans="1:6" ht="33.75" customHeight="1">
      <c r="A21" s="23">
        <f>問題一覧!A21</f>
        <v>20</v>
      </c>
      <c r="B21" s="23" t="str">
        <f>問題一覧!B21</f>
        <v>術中維持の基本</v>
      </c>
      <c r="C21" s="7" t="str">
        <f>問題一覧!D21</f>
        <v>術中覚醒のリスク因子と予防は。</v>
      </c>
      <c r="D21" s="23" t="str">
        <f>問題一覧!G21&amp;"個"</f>
        <v>3個</v>
      </c>
      <c r="E21" s="7"/>
      <c r="F21" s="23"/>
    </row>
    <row r="22" spans="1:6" ht="33.75" customHeight="1">
      <c r="A22" s="23">
        <f>問題一覧!A22</f>
        <v>21</v>
      </c>
      <c r="B22" s="23" t="str">
        <f>問題一覧!B22</f>
        <v>術中維持の基本</v>
      </c>
      <c r="C22" s="7" t="str">
        <f>問題一覧!D22</f>
        <v>術中のアナフィラキシーを疑ったときの対応は。</v>
      </c>
      <c r="D22" s="23" t="str">
        <f>問題一覧!G22&amp;"個"</f>
        <v>6個</v>
      </c>
      <c r="E22" s="7"/>
      <c r="F22" s="23"/>
    </row>
    <row r="23" spans="1:6" ht="33.75" customHeight="1">
      <c r="A23" s="23">
        <f>問題一覧!A23</f>
        <v>22</v>
      </c>
      <c r="B23" s="23" t="str">
        <f>問題一覧!B23</f>
        <v>術中維持の基本</v>
      </c>
      <c r="C23" s="7" t="str">
        <f>問題一覧!D23</f>
        <v>術中の代謝性アシドーシスの原因は。</v>
      </c>
      <c r="D23" s="23" t="str">
        <f>問題一覧!G23&amp;"個"</f>
        <v>5個</v>
      </c>
      <c r="E23" s="7"/>
      <c r="F23" s="23"/>
    </row>
    <row r="24" spans="1:6" ht="33.75" customHeight="1">
      <c r="A24" s="23">
        <f>問題一覧!A24</f>
        <v>23</v>
      </c>
      <c r="B24" s="23" t="str">
        <f>問題一覧!B24</f>
        <v>薬剤</v>
      </c>
      <c r="C24" s="7" t="str">
        <f>問題一覧!D24</f>
        <v>プロポフォールの導入量・維持量は。</v>
      </c>
      <c r="D24" s="23" t="str">
        <f>問題一覧!G24&amp;"個"</f>
        <v>3個</v>
      </c>
      <c r="E24" s="7"/>
      <c r="F24" s="23"/>
    </row>
    <row r="25" spans="1:6" ht="33.75" customHeight="1">
      <c r="A25" s="23">
        <f>問題一覧!A25</f>
        <v>24</v>
      </c>
      <c r="B25" s="23" t="str">
        <f>問題一覧!B25</f>
        <v>薬剤</v>
      </c>
      <c r="C25" s="7" t="str">
        <f>問題一覧!D25</f>
        <v>プロポフォールの主な副作用は。</v>
      </c>
      <c r="D25" s="23" t="str">
        <f>問題一覧!G25&amp;"個"</f>
        <v>4個</v>
      </c>
      <c r="E25" s="7"/>
      <c r="F25" s="23"/>
    </row>
    <row r="26" spans="1:6" ht="33.75" customHeight="1">
      <c r="A26" s="23">
        <f>問題一覧!A26</f>
        <v>25</v>
      </c>
      <c r="B26" s="23" t="str">
        <f>問題一覧!B26</f>
        <v>薬剤</v>
      </c>
      <c r="C26" s="7" t="str">
        <f>問題一覧!D26</f>
        <v>ケタミンの用量と特徴は。</v>
      </c>
      <c r="D26" s="23" t="str">
        <f>問題一覧!G26&amp;"個"</f>
        <v>6個</v>
      </c>
      <c r="E26" s="7"/>
      <c r="F26" s="23"/>
    </row>
    <row r="27" spans="1:6" ht="33.75" customHeight="1">
      <c r="A27" s="23">
        <f>問題一覧!A27</f>
        <v>26</v>
      </c>
      <c r="B27" s="23" t="str">
        <f>問題一覧!B27</f>
        <v>薬剤</v>
      </c>
      <c r="C27" s="7" t="str">
        <f>問題一覧!D27</f>
        <v>ミダゾラムの用量と注意点は。</v>
      </c>
      <c r="D27" s="23" t="str">
        <f>問題一覧!G27&amp;"個"</f>
        <v>3個</v>
      </c>
      <c r="E27" s="7"/>
      <c r="F27" s="23"/>
    </row>
    <row r="28" spans="1:6" ht="33.75" customHeight="1">
      <c r="A28" s="23">
        <f>問題一覧!A28</f>
        <v>27</v>
      </c>
      <c r="B28" s="23" t="str">
        <f>問題一覧!B28</f>
        <v>薬剤</v>
      </c>
      <c r="C28" s="7" t="str">
        <f>問題一覧!D28</f>
        <v>デクスメデトミジンの用量と特徴は。</v>
      </c>
      <c r="D28" s="23" t="str">
        <f>問題一覧!G28&amp;"個"</f>
        <v>3個</v>
      </c>
      <c r="E28" s="7"/>
      <c r="F28" s="23"/>
    </row>
    <row r="29" spans="1:6" ht="33.75" customHeight="1">
      <c r="A29" s="23">
        <f>問題一覧!A29</f>
        <v>28</v>
      </c>
      <c r="B29" s="23" t="str">
        <f>問題一覧!B29</f>
        <v>薬剤</v>
      </c>
      <c r="C29" s="7" t="str">
        <f>問題一覧!D29</f>
        <v>ロクロニウムの挿管量・維持量・作用時間は。</v>
      </c>
      <c r="D29" s="23" t="str">
        <f>問題一覧!G29&amp;"個"</f>
        <v>3個</v>
      </c>
      <c r="E29" s="7"/>
      <c r="F29" s="23"/>
    </row>
    <row r="30" spans="1:6" ht="33.75" customHeight="1">
      <c r="A30" s="23">
        <f>問題一覧!A30</f>
        <v>29</v>
      </c>
      <c r="B30" s="23" t="str">
        <f>問題一覧!B30</f>
        <v>薬剤</v>
      </c>
      <c r="C30" s="7" t="str">
        <f>問題一覧!D30</f>
        <v>スガマデクスの用量は。</v>
      </c>
      <c r="D30" s="23" t="str">
        <f>問題一覧!G30&amp;"個"</f>
        <v>3個</v>
      </c>
      <c r="E30" s="7"/>
      <c r="F30" s="23"/>
    </row>
    <row r="31" spans="1:6" ht="33.75" customHeight="1">
      <c r="A31" s="23">
        <f>問題一覧!A31</f>
        <v>30</v>
      </c>
      <c r="B31" s="23" t="str">
        <f>問題一覧!B31</f>
        <v>薬剤</v>
      </c>
      <c r="C31" s="7" t="str">
        <f>問題一覧!D31</f>
        <v>筋弛緩モニタ（TOF）の使い方は。</v>
      </c>
      <c r="D31" s="23" t="str">
        <f>問題一覧!G31&amp;"個"</f>
        <v>4個</v>
      </c>
      <c r="E31" s="7"/>
      <c r="F31" s="23"/>
    </row>
    <row r="32" spans="1:6" ht="33.75" customHeight="1">
      <c r="A32" s="23">
        <f>問題一覧!A32</f>
        <v>31</v>
      </c>
      <c r="B32" s="23" t="str">
        <f>問題一覧!B32</f>
        <v>薬剤</v>
      </c>
      <c r="C32" s="7" t="str">
        <f>問題一覧!D32</f>
        <v>フェンタニルの導入量と特徴は。</v>
      </c>
      <c r="D32" s="23" t="str">
        <f>問題一覧!G32&amp;"個"</f>
        <v>4個</v>
      </c>
      <c r="E32" s="7"/>
      <c r="F32" s="23"/>
    </row>
    <row r="33" spans="1:6" ht="33.75" customHeight="1">
      <c r="A33" s="23">
        <f>問題一覧!A33</f>
        <v>32</v>
      </c>
      <c r="B33" s="23" t="str">
        <f>問題一覧!B33</f>
        <v>薬剤</v>
      </c>
      <c r="C33" s="7" t="str">
        <f>問題一覧!D33</f>
        <v>レミフェンタニルの投与量と注意点は。</v>
      </c>
      <c r="D33" s="23" t="str">
        <f>問題一覧!G33&amp;"個"</f>
        <v>5個</v>
      </c>
      <c r="E33" s="7"/>
      <c r="F33" s="23"/>
    </row>
    <row r="34" spans="1:6" ht="33.75" customHeight="1">
      <c r="A34" s="23">
        <f>問題一覧!A34</f>
        <v>33</v>
      </c>
      <c r="B34" s="23" t="str">
        <f>問題一覧!B34</f>
        <v>薬剤</v>
      </c>
      <c r="C34" s="7" t="str">
        <f>問題一覧!D34</f>
        <v>エフェドリンは1回何mgくらい使うか。特徴は。</v>
      </c>
      <c r="D34" s="23" t="str">
        <f>問題一覧!G34&amp;"個"</f>
        <v>3個</v>
      </c>
      <c r="E34" s="7"/>
      <c r="F34" s="23"/>
    </row>
    <row r="35" spans="1:6" ht="33.75" customHeight="1">
      <c r="A35" s="23">
        <f>問題一覧!A35</f>
        <v>34</v>
      </c>
      <c r="B35" s="23" t="str">
        <f>問題一覧!B35</f>
        <v>薬剤</v>
      </c>
      <c r="C35" s="7" t="str">
        <f>問題一覧!D35</f>
        <v>フェニレフリンの1回量と特徴は。</v>
      </c>
      <c r="D35" s="23" t="str">
        <f>問題一覧!G35&amp;"個"</f>
        <v>3個</v>
      </c>
      <c r="E35" s="7"/>
      <c r="F35" s="23"/>
    </row>
    <row r="36" spans="1:6" ht="33.75" customHeight="1">
      <c r="A36" s="23">
        <f>問題一覧!A36</f>
        <v>35</v>
      </c>
      <c r="B36" s="23" t="str">
        <f>問題一覧!B36</f>
        <v>薬剤</v>
      </c>
      <c r="C36" s="7" t="str">
        <f>問題一覧!D36</f>
        <v>ノルアドレナリンの投与量と注意点は。</v>
      </c>
      <c r="D36" s="23" t="str">
        <f>問題一覧!G36&amp;"個"</f>
        <v>3個</v>
      </c>
      <c r="E36" s="7"/>
      <c r="F36" s="23"/>
    </row>
    <row r="37" spans="1:6" ht="33.75" customHeight="1">
      <c r="A37" s="23">
        <f>問題一覧!A37</f>
        <v>36</v>
      </c>
      <c r="B37" s="23" t="str">
        <f>問題一覧!B37</f>
        <v>薬剤</v>
      </c>
      <c r="C37" s="7" t="str">
        <f>問題一覧!D37</f>
        <v>アドレナリンの用量（アナフィラキシー・心停止）は。</v>
      </c>
      <c r="D37" s="23" t="str">
        <f>問題一覧!G37&amp;"個"</f>
        <v>3個</v>
      </c>
      <c r="E37" s="7"/>
      <c r="F37" s="23"/>
    </row>
    <row r="38" spans="1:6" ht="33.75" customHeight="1">
      <c r="A38" s="23">
        <f>問題一覧!A38</f>
        <v>37</v>
      </c>
      <c r="B38" s="23" t="str">
        <f>問題一覧!B38</f>
        <v>薬剤</v>
      </c>
      <c r="C38" s="7" t="str">
        <f>問題一覧!D38</f>
        <v>アトロピンの1回量と使用上の注意点は。</v>
      </c>
      <c r="D38" s="23" t="str">
        <f>問題一覧!G38&amp;"個"</f>
        <v>3個</v>
      </c>
      <c r="E38" s="7"/>
      <c r="F38" s="23"/>
    </row>
    <row r="39" spans="1:6" ht="33.75" customHeight="1">
      <c r="A39" s="23">
        <f>問題一覧!A39</f>
        <v>38</v>
      </c>
      <c r="B39" s="23" t="str">
        <f>問題一覧!B39</f>
        <v>薬剤</v>
      </c>
      <c r="C39" s="7" t="str">
        <f>問題一覧!D39</f>
        <v>ニカルジピンの使い方と特徴。</v>
      </c>
      <c r="D39" s="23" t="str">
        <f>問題一覧!G39&amp;"個"</f>
        <v>4個</v>
      </c>
      <c r="E39" s="7"/>
      <c r="F39" s="23"/>
    </row>
    <row r="40" spans="1:6" ht="33.75" customHeight="1">
      <c r="A40" s="23">
        <f>問題一覧!A40</f>
        <v>39</v>
      </c>
      <c r="B40" s="23" t="str">
        <f>問題一覧!B40</f>
        <v>薬剤</v>
      </c>
      <c r="C40" s="7" t="str">
        <f>問題一覧!D40</f>
        <v>ニトログリセリンの使い方は。</v>
      </c>
      <c r="D40" s="23" t="str">
        <f>問題一覧!G40&amp;"個"</f>
        <v>4個</v>
      </c>
      <c r="E40" s="7"/>
      <c r="F40" s="23"/>
    </row>
    <row r="41" spans="1:6" ht="33.75" customHeight="1">
      <c r="A41" s="23">
        <f>問題一覧!A41</f>
        <v>40</v>
      </c>
      <c r="B41" s="23" t="str">
        <f>問題一覧!B41</f>
        <v>薬剤</v>
      </c>
      <c r="C41" s="7" t="str">
        <f>問題一覧!D41</f>
        <v>ランジオロールの使用量。</v>
      </c>
      <c r="D41" s="23" t="str">
        <f>問題一覧!G41&amp;"個"</f>
        <v>1個</v>
      </c>
      <c r="E41" s="7"/>
      <c r="F41" s="23"/>
    </row>
    <row r="42" spans="1:6" ht="33.75" customHeight="1">
      <c r="A42" s="23">
        <f>問題一覧!A42</f>
        <v>41</v>
      </c>
      <c r="B42" s="23" t="str">
        <f>問題一覧!B42</f>
        <v>薬剤</v>
      </c>
      <c r="C42" s="7" t="str">
        <f>問題一覧!D42</f>
        <v>術中の頻脈性心房細動への薬剤は。</v>
      </c>
      <c r="D42" s="23" t="str">
        <f>問題一覧!G42&amp;"個"</f>
        <v>4個</v>
      </c>
      <c r="E42" s="7"/>
      <c r="F42" s="23"/>
    </row>
    <row r="43" spans="1:6" ht="33.75" customHeight="1">
      <c r="A43" s="23">
        <f>問題一覧!A43</f>
        <v>42</v>
      </c>
      <c r="B43" s="23" t="str">
        <f>問題一覧!B43</f>
        <v>薬剤</v>
      </c>
      <c r="C43" s="7" t="str">
        <f>問題一覧!D43</f>
        <v>アセトアミノフェン静注の用量と注意点は。</v>
      </c>
      <c r="D43" s="23" t="str">
        <f>問題一覧!G43&amp;"個"</f>
        <v>3個</v>
      </c>
      <c r="E43" s="7"/>
      <c r="F43" s="23"/>
    </row>
    <row r="44" spans="1:6" ht="33.75" customHeight="1">
      <c r="A44" s="23">
        <f>問題一覧!A44</f>
        <v>43</v>
      </c>
      <c r="B44" s="23" t="str">
        <f>問題一覧!B44</f>
        <v>薬剤</v>
      </c>
      <c r="C44" s="7" t="str">
        <f>問題一覧!D44</f>
        <v>NSAIDs（フルルビプロフェンなど）の用量と禁忌は。</v>
      </c>
      <c r="D44" s="23" t="str">
        <f>問題一覧!G44&amp;"個"</f>
        <v>2個</v>
      </c>
      <c r="E44" s="7"/>
      <c r="F44" s="23"/>
    </row>
    <row r="45" spans="1:6" ht="33.75" customHeight="1">
      <c r="A45" s="23">
        <f>問題一覧!A45</f>
        <v>44</v>
      </c>
      <c r="B45" s="23" t="str">
        <f>問題一覧!B45</f>
        <v>薬剤</v>
      </c>
      <c r="C45" s="7" t="str">
        <f>問題一覧!D45</f>
        <v>PONVに使う薬と用量は。</v>
      </c>
      <c r="D45" s="23" t="str">
        <f>問題一覧!G45&amp;"個"</f>
        <v>3個</v>
      </c>
      <c r="E45" s="7"/>
      <c r="F45" s="23"/>
    </row>
    <row r="46" spans="1:6" ht="33.75" customHeight="1">
      <c r="A46" s="23">
        <f>問題一覧!A46</f>
        <v>45</v>
      </c>
      <c r="B46" s="23" t="str">
        <f>問題一覧!B46</f>
        <v>薬剤</v>
      </c>
      <c r="C46" s="7" t="str">
        <f>問題一覧!D46</f>
        <v>PONVのリスク因子は。</v>
      </c>
      <c r="D46" s="23" t="str">
        <f>問題一覧!G46&amp;"個"</f>
        <v>6個</v>
      </c>
      <c r="E46" s="7"/>
      <c r="F46" s="23"/>
    </row>
    <row r="47" spans="1:6" ht="33.75" customHeight="1">
      <c r="A47" s="23">
        <f>問題一覧!A47</f>
        <v>46</v>
      </c>
      <c r="B47" s="23" t="str">
        <f>問題一覧!B47</f>
        <v>薬剤</v>
      </c>
      <c r="C47" s="7" t="str">
        <f>問題一覧!D47</f>
        <v>リドカイン局注の最大投与量は。</v>
      </c>
      <c r="D47" s="23" t="str">
        <f>問題一覧!G47&amp;"個"</f>
        <v>2個</v>
      </c>
      <c r="E47" s="7"/>
      <c r="F47" s="23"/>
    </row>
    <row r="48" spans="1:6" ht="33.75" customHeight="1">
      <c r="A48" s="23">
        <f>問題一覧!A48</f>
        <v>47</v>
      </c>
      <c r="B48" s="23" t="str">
        <f>問題一覧!B48</f>
        <v>薬剤</v>
      </c>
      <c r="C48" s="7" t="str">
        <f>問題一覧!D48</f>
        <v>ロピバカイン・ブピバカインの最大量と特徴は。</v>
      </c>
      <c r="D48" s="23" t="str">
        <f>問題一覧!G48&amp;"個"</f>
        <v>3個</v>
      </c>
      <c r="E48" s="7"/>
      <c r="F48" s="23"/>
    </row>
    <row r="49" spans="1:6" ht="33.75" customHeight="1">
      <c r="A49" s="23">
        <f>問題一覧!A49</f>
        <v>48</v>
      </c>
      <c r="B49" s="23" t="str">
        <f>問題一覧!B49</f>
        <v>薬剤</v>
      </c>
      <c r="C49" s="7" t="str">
        <f>問題一覧!D49</f>
        <v>局所麻酔薬中毒の症状と治療は。</v>
      </c>
      <c r="D49" s="23" t="str">
        <f>問題一覧!G49&amp;"個"</f>
        <v>4個</v>
      </c>
      <c r="E49" s="7"/>
      <c r="F49" s="23"/>
    </row>
    <row r="50" spans="1:6" ht="33.75" customHeight="1">
      <c r="A50" s="23">
        <f>問題一覧!A50</f>
        <v>49</v>
      </c>
      <c r="B50" s="23" t="str">
        <f>問題一覧!B50</f>
        <v>薬剤</v>
      </c>
      <c r="C50" s="7" t="str">
        <f>問題一覧!D50</f>
        <v>トラネキサム酸の用量と適応は。</v>
      </c>
      <c r="D50" s="23" t="str">
        <f>問題一覧!G50&amp;"個"</f>
        <v>3個</v>
      </c>
      <c r="E50" s="7"/>
      <c r="F50" s="23"/>
    </row>
    <row r="51" spans="1:6" ht="33.75" customHeight="1">
      <c r="A51" s="23">
        <f>問題一覧!A51</f>
        <v>50</v>
      </c>
      <c r="B51" s="23" t="str">
        <f>問題一覧!B51</f>
        <v>薬剤</v>
      </c>
      <c r="C51" s="7" t="str">
        <f>問題一覧!D51</f>
        <v>プロタミンの投与量と副作用は。</v>
      </c>
      <c r="D51" s="23" t="str">
        <f>問題一覧!G51&amp;"個"</f>
        <v>3個</v>
      </c>
      <c r="E51" s="7"/>
      <c r="F51" s="23"/>
    </row>
    <row r="52" spans="1:6" ht="33.75" customHeight="1">
      <c r="A52" s="23">
        <f>問題一覧!A52</f>
        <v>51</v>
      </c>
      <c r="B52" s="23" t="str">
        <f>問題一覧!B52</f>
        <v>薬剤</v>
      </c>
      <c r="C52" s="7" t="str">
        <f>問題一覧!D52</f>
        <v>高K血症の緊急治療を挙げよ。</v>
      </c>
      <c r="D52" s="23" t="str">
        <f>問題一覧!G52&amp;"個"</f>
        <v>3個</v>
      </c>
      <c r="E52" s="7"/>
      <c r="F52" s="23"/>
    </row>
    <row r="53" spans="1:6" ht="33.75" customHeight="1">
      <c r="A53" s="23">
        <f>問題一覧!A53</f>
        <v>52</v>
      </c>
      <c r="B53" s="23" t="str">
        <f>問題一覧!B53</f>
        <v>薬剤</v>
      </c>
      <c r="C53" s="7" t="str">
        <f>問題一覧!D53</f>
        <v>硫酸マグネシウムの周術期の用途と注意点は。</v>
      </c>
      <c r="D53" s="23" t="str">
        <f>問題一覧!G53&amp;"個"</f>
        <v>3個</v>
      </c>
      <c r="E53" s="7"/>
      <c r="F53" s="23"/>
    </row>
    <row r="54" spans="1:6" ht="33.75" customHeight="1">
      <c r="A54" s="23">
        <f>問題一覧!A54</f>
        <v>53</v>
      </c>
      <c r="B54" s="23" t="str">
        <f>問題一覧!B54</f>
        <v>薬剤</v>
      </c>
      <c r="C54" s="7" t="str">
        <f>問題一覧!D54</f>
        <v>悪性高熱の治療は。</v>
      </c>
      <c r="D54" s="23" t="str">
        <f>問題一覧!G54&amp;"個"</f>
        <v>5個</v>
      </c>
      <c r="E54" s="7"/>
      <c r="F54" s="23"/>
    </row>
    <row r="55" spans="1:6" ht="33.75" customHeight="1">
      <c r="A55" s="23">
        <f>問題一覧!A55</f>
        <v>54</v>
      </c>
      <c r="B55" s="23" t="str">
        <f>問題一覧!B55</f>
        <v>薬剤</v>
      </c>
      <c r="C55" s="7" t="str">
        <f>問題一覧!D55</f>
        <v>亜酸化窒素を避けるべき状況は。</v>
      </c>
      <c r="D55" s="23" t="str">
        <f>問題一覧!G55&amp;"個"</f>
        <v>6個</v>
      </c>
      <c r="E55" s="7"/>
      <c r="F55" s="23"/>
    </row>
    <row r="56" spans="1:6" ht="33.75" customHeight="1">
      <c r="A56" s="23">
        <f>問題一覧!A56</f>
        <v>55</v>
      </c>
      <c r="B56" s="23" t="str">
        <f>問題一覧!B56</f>
        <v>呼吸・人工呼吸</v>
      </c>
      <c r="C56" s="7" t="str">
        <f>問題一覧!D56</f>
        <v>マスク換気困難を予測する因子は。</v>
      </c>
      <c r="D56" s="23" t="str">
        <f>問題一覧!G56&amp;"個"</f>
        <v>6個</v>
      </c>
      <c r="E56" s="7"/>
      <c r="F56" s="23"/>
    </row>
    <row r="57" spans="1:6" ht="33.75" customHeight="1">
      <c r="A57" s="23">
        <f>問題一覧!A57</f>
        <v>56</v>
      </c>
      <c r="B57" s="23" t="str">
        <f>問題一覧!B57</f>
        <v>呼吸・人工呼吸</v>
      </c>
      <c r="C57" s="7" t="str">
        <f>問題一覧!D57</f>
        <v>挿管困難を予測する所見は。</v>
      </c>
      <c r="D57" s="23" t="str">
        <f>問題一覧!G57&amp;"個"</f>
        <v>6個</v>
      </c>
      <c r="E57" s="7"/>
      <c r="F57" s="23"/>
    </row>
    <row r="58" spans="1:6" ht="33.75" customHeight="1">
      <c r="A58" s="23">
        <f>問題一覧!A58</f>
        <v>57</v>
      </c>
      <c r="B58" s="23" t="str">
        <f>問題一覧!B58</f>
        <v>呼吸・人工呼吸</v>
      </c>
      <c r="C58" s="7" t="str">
        <f>問題一覧!D58</f>
        <v>前酸素化（脱窒素）の方法と目安は。</v>
      </c>
      <c r="D58" s="23" t="str">
        <f>問題一覧!G58&amp;"個"</f>
        <v>3個</v>
      </c>
      <c r="E58" s="7"/>
      <c r="F58" s="23"/>
    </row>
    <row r="59" spans="1:6" ht="33.75" customHeight="1">
      <c r="A59" s="23">
        <f>問題一覧!A59</f>
        <v>58</v>
      </c>
      <c r="B59" s="23" t="str">
        <f>問題一覧!B59</f>
        <v>呼吸・人工呼吸</v>
      </c>
      <c r="C59" s="7" t="str">
        <f>問題一覧!D59</f>
        <v>迅速導入（RSI）の手順は。</v>
      </c>
      <c r="D59" s="23" t="str">
        <f>問題一覧!G59&amp;"個"</f>
        <v>6個</v>
      </c>
      <c r="E59" s="7"/>
      <c r="F59" s="23"/>
    </row>
    <row r="60" spans="1:6" ht="33.75" customHeight="1">
      <c r="A60" s="23">
        <f>問題一覧!A60</f>
        <v>59</v>
      </c>
      <c r="B60" s="23" t="str">
        <f>問題一覧!B60</f>
        <v>呼吸・人工呼吸</v>
      </c>
      <c r="C60" s="7" t="str">
        <f>問題一覧!D60</f>
        <v>換気も挿管もできない（CICO）ときの対応は。</v>
      </c>
      <c r="D60" s="23" t="str">
        <f>問題一覧!G60&amp;"個"</f>
        <v>5個</v>
      </c>
      <c r="E60" s="7"/>
      <c r="F60" s="23"/>
    </row>
    <row r="61" spans="1:6" ht="33.75" customHeight="1">
      <c r="A61" s="23">
        <f>問題一覧!A61</f>
        <v>60</v>
      </c>
      <c r="B61" s="23" t="str">
        <f>問題一覧!B61</f>
        <v>呼吸・人工呼吸</v>
      </c>
      <c r="C61" s="7" t="str">
        <f>問題一覧!D61</f>
        <v>気道内圧が上昇した。鑑別を挙げよ。</v>
      </c>
      <c r="D61" s="23" t="str">
        <f>問題一覧!G61&amp;"個"</f>
        <v>6個</v>
      </c>
      <c r="E61" s="7"/>
      <c r="F61" s="23"/>
    </row>
    <row r="62" spans="1:6" ht="33.75" customHeight="1">
      <c r="A62" s="23">
        <f>問題一覧!A62</f>
        <v>61</v>
      </c>
      <c r="B62" s="23" t="str">
        <f>問題一覧!B62</f>
        <v>呼吸・人工呼吸</v>
      </c>
      <c r="C62" s="7" t="str">
        <f>問題一覧!D62</f>
        <v>片肺挿管を疑う所見は。</v>
      </c>
      <c r="D62" s="23" t="str">
        <f>問題一覧!G62&amp;"個"</f>
        <v>3個</v>
      </c>
      <c r="E62" s="7"/>
      <c r="F62" s="23"/>
    </row>
    <row r="63" spans="1:6" ht="33.75" customHeight="1">
      <c r="A63" s="23">
        <f>問題一覧!A63</f>
        <v>62</v>
      </c>
      <c r="B63" s="23" t="str">
        <f>問題一覧!B63</f>
        <v>呼吸・人工呼吸</v>
      </c>
      <c r="C63" s="7" t="str">
        <f>問題一覧!D63</f>
        <v>術中の低酸素血症の鑑別は。</v>
      </c>
      <c r="D63" s="23" t="str">
        <f>問題一覧!G63&amp;"個"</f>
        <v>8個</v>
      </c>
      <c r="E63" s="7"/>
      <c r="F63" s="23"/>
    </row>
    <row r="64" spans="1:6" ht="33.75" customHeight="1">
      <c r="A64" s="23">
        <f>問題一覧!A64</f>
        <v>63</v>
      </c>
      <c r="B64" s="23" t="str">
        <f>問題一覧!B64</f>
        <v>呼吸・人工呼吸</v>
      </c>
      <c r="C64" s="7" t="str">
        <f>問題一覧!D64</f>
        <v>術中の気管支痙攣への対応は。</v>
      </c>
      <c r="D64" s="23" t="str">
        <f>問題一覧!G64&amp;"個"</f>
        <v>5個</v>
      </c>
      <c r="E64" s="7"/>
      <c r="F64" s="23"/>
    </row>
    <row r="65" spans="1:6" ht="33.75" customHeight="1">
      <c r="A65" s="23">
        <f>問題一覧!A65</f>
        <v>64</v>
      </c>
      <c r="B65" s="23" t="str">
        <f>問題一覧!B65</f>
        <v>呼吸・人工呼吸</v>
      </c>
      <c r="C65" s="7" t="str">
        <f>問題一覧!D65</f>
        <v>肺保護換気の基本設定は。</v>
      </c>
      <c r="D65" s="23" t="str">
        <f>問題一覧!G65&amp;"個"</f>
        <v>5個</v>
      </c>
      <c r="E65" s="7"/>
      <c r="F65" s="23"/>
    </row>
    <row r="66" spans="1:6" ht="33.75" customHeight="1">
      <c r="A66" s="23">
        <f>問題一覧!A66</f>
        <v>65</v>
      </c>
      <c r="B66" s="23" t="str">
        <f>問題一覧!B66</f>
        <v>呼吸・人工呼吸</v>
      </c>
      <c r="C66" s="7" t="str">
        <f>問題一覧!D66</f>
        <v>PEEPをかける意義と弊害は。</v>
      </c>
      <c r="D66" s="23" t="str">
        <f>問題一覧!G66&amp;"個"</f>
        <v>2個</v>
      </c>
      <c r="E66" s="7"/>
      <c r="F66" s="23"/>
    </row>
    <row r="67" spans="1:6" ht="33.75" customHeight="1">
      <c r="A67" s="23">
        <f>問題一覧!A67</f>
        <v>66</v>
      </c>
      <c r="B67" s="23" t="str">
        <f>問題一覧!B67</f>
        <v>呼吸・人工呼吸</v>
      </c>
      <c r="C67" s="7" t="str">
        <f>問題一覧!D67</f>
        <v>リクルートメント手技の方法と注意点は。</v>
      </c>
      <c r="D67" s="23" t="str">
        <f>問題一覧!G67&amp;"個"</f>
        <v>4個</v>
      </c>
      <c r="E67" s="7"/>
      <c r="F67" s="23"/>
    </row>
    <row r="68" spans="1:6" ht="33.75" customHeight="1">
      <c r="A68" s="23">
        <f>問題一覧!A68</f>
        <v>67</v>
      </c>
      <c r="B68" s="23" t="str">
        <f>問題一覧!B68</f>
        <v>呼吸・人工呼吸</v>
      </c>
      <c r="C68" s="7" t="str">
        <f>問題一覧!D68</f>
        <v>PCVとVCVの使い分けは。</v>
      </c>
      <c r="D68" s="23" t="str">
        <f>問題一覧!G68&amp;"個"</f>
        <v>2個</v>
      </c>
      <c r="E68" s="7"/>
      <c r="F68" s="23"/>
    </row>
    <row r="69" spans="1:6" ht="33.75" customHeight="1">
      <c r="A69" s="23">
        <f>問題一覧!A69</f>
        <v>68</v>
      </c>
      <c r="B69" s="23" t="str">
        <f>問題一覧!B69</f>
        <v>呼吸・人工呼吸</v>
      </c>
      <c r="C69" s="7" t="str">
        <f>問題一覧!D69</f>
        <v>COPD患者の換気設定の要点は。</v>
      </c>
      <c r="D69" s="23" t="str">
        <f>問題一覧!G69&amp;"個"</f>
        <v>3個</v>
      </c>
      <c r="E69" s="7"/>
      <c r="F69" s="23"/>
    </row>
    <row r="70" spans="1:6" ht="33.75" customHeight="1">
      <c r="A70" s="23">
        <f>問題一覧!A70</f>
        <v>69</v>
      </c>
      <c r="B70" s="23" t="str">
        <f>問題一覧!B70</f>
        <v>呼吸・人工呼吸</v>
      </c>
      <c r="C70" s="7" t="str">
        <f>問題一覧!D70</f>
        <v>高CO2血症が身体に及ぼす影響は。</v>
      </c>
      <c r="D70" s="23" t="str">
        <f>問題一覧!G70&amp;"個"</f>
        <v>5個</v>
      </c>
      <c r="E70" s="7"/>
      <c r="F70" s="23"/>
    </row>
    <row r="71" spans="1:6" ht="33.75" customHeight="1">
      <c r="A71" s="23">
        <f>問題一覧!A71</f>
        <v>70</v>
      </c>
      <c r="B71" s="23" t="str">
        <f>問題一覧!B71</f>
        <v>呼吸・人工呼吸</v>
      </c>
      <c r="C71" s="7" t="str">
        <f>問題一覧!D71</f>
        <v>過換気の弊害は。</v>
      </c>
      <c r="D71" s="23" t="str">
        <f>問題一覧!G71&amp;"個"</f>
        <v>4個</v>
      </c>
      <c r="E71" s="7"/>
      <c r="F71" s="23"/>
    </row>
    <row r="72" spans="1:6" ht="33.75" customHeight="1">
      <c r="A72" s="23">
        <f>問題一覧!A72</f>
        <v>71</v>
      </c>
      <c r="B72" s="23" t="str">
        <f>問題一覧!B72</f>
        <v>呼吸・人工呼吸</v>
      </c>
      <c r="C72" s="7" t="str">
        <f>問題一覧!D72</f>
        <v>カプノグラムのベースラインが上昇しているときの原因は。</v>
      </c>
      <c r="D72" s="23" t="str">
        <f>問題一覧!G72&amp;"個"</f>
        <v>3個</v>
      </c>
      <c r="E72" s="7"/>
      <c r="F72" s="23"/>
    </row>
    <row r="73" spans="1:6" ht="33.75" customHeight="1">
      <c r="A73" s="23">
        <f>問題一覧!A73</f>
        <v>72</v>
      </c>
      <c r="B73" s="23" t="str">
        <f>問題一覧!B73</f>
        <v>呼吸・人工呼吸</v>
      </c>
      <c r="C73" s="7" t="str">
        <f>問題一覧!D73</f>
        <v>カプノグラムがシャークフィン型（上行脚がなだらか）になる原因は。</v>
      </c>
      <c r="D73" s="23" t="str">
        <f>問題一覧!G73&amp;"個"</f>
        <v>3個</v>
      </c>
      <c r="E73" s="7"/>
      <c r="F73" s="23"/>
    </row>
    <row r="74" spans="1:6" ht="33.75" customHeight="1">
      <c r="A74" s="23">
        <f>問題一覧!A74</f>
        <v>73</v>
      </c>
      <c r="B74" s="23" t="str">
        <f>問題一覧!B74</f>
        <v>呼吸・人工呼吸</v>
      </c>
      <c r="C74" s="7" t="str">
        <f>問題一覧!D74</f>
        <v>回路リークを疑うときの確認点は。</v>
      </c>
      <c r="D74" s="23" t="str">
        <f>問題一覧!G74&amp;"個"</f>
        <v>5個</v>
      </c>
      <c r="E74" s="7"/>
      <c r="F74" s="23"/>
    </row>
    <row r="75" spans="1:6" ht="33.75" customHeight="1">
      <c r="A75" s="23">
        <f>問題一覧!A75</f>
        <v>74</v>
      </c>
      <c r="B75" s="23" t="str">
        <f>問題一覧!B75</f>
        <v>呼吸・人工呼吸</v>
      </c>
      <c r="C75" s="7" t="str">
        <f>問題一覧!D75</f>
        <v>術後呼吸器合併症のリスク因子は。</v>
      </c>
      <c r="D75" s="23" t="str">
        <f>問題一覧!G75&amp;"個"</f>
        <v>6個</v>
      </c>
      <c r="E75" s="7"/>
      <c r="F75" s="23"/>
    </row>
    <row r="76" spans="1:6" ht="33.75" customHeight="1">
      <c r="A76" s="23">
        <f>問題一覧!A76</f>
        <v>75</v>
      </c>
      <c r="B76" s="23" t="str">
        <f>問題一覧!B76</f>
        <v>併存症</v>
      </c>
      <c r="C76" s="7" t="str">
        <f>問題一覧!D76</f>
        <v>高血圧患者で術前に継続・中止する降圧薬は。</v>
      </c>
      <c r="D76" s="23" t="str">
        <f>問題一覧!G76&amp;"個"</f>
        <v>2個</v>
      </c>
      <c r="E76" s="7"/>
      <c r="F76" s="23"/>
    </row>
    <row r="77" spans="1:6" ht="33.75" customHeight="1">
      <c r="A77" s="23">
        <f>問題一覧!A77</f>
        <v>76</v>
      </c>
      <c r="B77" s="23" t="str">
        <f>問題一覧!B77</f>
        <v>併存症</v>
      </c>
      <c r="C77" s="7" t="str">
        <f>問題一覧!D77</f>
        <v>高血圧患者の術中管理の注意点は。</v>
      </c>
      <c r="D77" s="23" t="str">
        <f>問題一覧!G77&amp;"個"</f>
        <v>4個</v>
      </c>
      <c r="E77" s="7"/>
      <c r="F77" s="23"/>
    </row>
    <row r="78" spans="1:6" ht="33.75" customHeight="1">
      <c r="A78" s="23">
        <f>問題一覧!A78</f>
        <v>77</v>
      </c>
      <c r="B78" s="23" t="str">
        <f>問題一覧!B78</f>
        <v>併存症</v>
      </c>
      <c r="C78" s="7" t="str">
        <f>問題一覧!D78</f>
        <v>術中の心筋虚血を防ぐための管理は。</v>
      </c>
      <c r="D78" s="23" t="str">
        <f>問題一覧!G78&amp;"個"</f>
        <v>6個</v>
      </c>
      <c r="E78" s="7"/>
      <c r="F78" s="23"/>
    </row>
    <row r="79" spans="1:6" ht="33.75" customHeight="1">
      <c r="A79" s="23">
        <f>問題一覧!A79</f>
        <v>78</v>
      </c>
      <c r="B79" s="23" t="str">
        <f>問題一覧!B79</f>
        <v>併存症</v>
      </c>
      <c r="C79" s="7" t="str">
        <f>問題一覧!D79</f>
        <v>術中に心筋虚血（ST変化）を認めた。対応は。</v>
      </c>
      <c r="D79" s="23" t="str">
        <f>問題一覧!G79&amp;"個"</f>
        <v>6個</v>
      </c>
      <c r="E79" s="7"/>
      <c r="F79" s="23"/>
    </row>
    <row r="80" spans="1:6" ht="33.75" customHeight="1">
      <c r="A80" s="23">
        <f>問題一覧!A80</f>
        <v>79</v>
      </c>
      <c r="B80" s="23" t="str">
        <f>問題一覧!B80</f>
        <v>併存症</v>
      </c>
      <c r="C80" s="7" t="str">
        <f>問題一覧!D80</f>
        <v>ステント留置後の抗血小板薬の周術期管理は。</v>
      </c>
      <c r="D80" s="23" t="str">
        <f>問題一覧!G80&amp;"個"</f>
        <v>4個</v>
      </c>
      <c r="E80" s="7"/>
      <c r="F80" s="23"/>
    </row>
    <row r="81" spans="1:6" ht="33.75" customHeight="1">
      <c r="A81" s="23">
        <f>問題一覧!A81</f>
        <v>80</v>
      </c>
      <c r="B81" s="23" t="str">
        <f>問題一覧!B81</f>
        <v>併存症</v>
      </c>
      <c r="C81" s="7" t="str">
        <f>問題一覧!D81</f>
        <v>低心機能（低EF）患者の麻酔の要点は。</v>
      </c>
      <c r="D81" s="23" t="str">
        <f>問題一覧!G81&amp;"個"</f>
        <v>4個</v>
      </c>
      <c r="E81" s="7"/>
      <c r="F81" s="23"/>
    </row>
    <row r="82" spans="1:6" ht="33.75" customHeight="1">
      <c r="A82" s="23">
        <f>問題一覧!A82</f>
        <v>81</v>
      </c>
      <c r="B82" s="23" t="str">
        <f>問題一覧!B82</f>
        <v>併存症</v>
      </c>
      <c r="C82" s="7" t="str">
        <f>問題一覧!D82</f>
        <v>大動脈弁狭窄症（AS）の管理原則は。</v>
      </c>
      <c r="D82" s="23" t="str">
        <f>問題一覧!G82&amp;"個"</f>
        <v>5個</v>
      </c>
      <c r="E82" s="7"/>
      <c r="F82" s="23"/>
    </row>
    <row r="83" spans="1:6" ht="33.75" customHeight="1">
      <c r="A83" s="23">
        <f>問題一覧!A83</f>
        <v>82</v>
      </c>
      <c r="B83" s="23" t="str">
        <f>問題一覧!B83</f>
        <v>併存症</v>
      </c>
      <c r="C83" s="7" t="str">
        <f>問題一覧!D83</f>
        <v>僧帽弁閉鎖不全症（MR）の管理原則は。</v>
      </c>
      <c r="D83" s="23" t="str">
        <f>問題一覧!G83&amp;"個"</f>
        <v>3個</v>
      </c>
      <c r="E83" s="7"/>
      <c r="F83" s="23"/>
    </row>
    <row r="84" spans="1:6" ht="33.75" customHeight="1">
      <c r="A84" s="23">
        <f>問題一覧!A84</f>
        <v>83</v>
      </c>
      <c r="B84" s="23" t="str">
        <f>問題一覧!B84</f>
        <v>併存症</v>
      </c>
      <c r="C84" s="7" t="str">
        <f>問題一覧!D84</f>
        <v>術中の心房細動への対応は。</v>
      </c>
      <c r="D84" s="23" t="str">
        <f>問題一覧!G84&amp;"個"</f>
        <v>3個</v>
      </c>
      <c r="E84" s="7"/>
      <c r="F84" s="23"/>
    </row>
    <row r="85" spans="1:6" ht="33.75" customHeight="1">
      <c r="A85" s="23">
        <f>問題一覧!A85</f>
        <v>84</v>
      </c>
      <c r="B85" s="23" t="str">
        <f>問題一覧!B85</f>
        <v>併存症</v>
      </c>
      <c r="C85" s="7" t="str">
        <f>問題一覧!D85</f>
        <v>ペースメーカー・ICD植込み患者の周術期管理は。</v>
      </c>
      <c r="D85" s="23" t="str">
        <f>問題一覧!G85&amp;"個"</f>
        <v>5個</v>
      </c>
      <c r="E85" s="7"/>
      <c r="F85" s="23"/>
    </row>
    <row r="86" spans="1:6" ht="33.75" customHeight="1">
      <c r="A86" s="23">
        <f>問題一覧!A86</f>
        <v>85</v>
      </c>
      <c r="B86" s="23" t="str">
        <f>問題一覧!B86</f>
        <v>併存症</v>
      </c>
      <c r="C86" s="7" t="str">
        <f>問題一覧!D86</f>
        <v>COPD患者の周術期の注意点は。</v>
      </c>
      <c r="D86" s="23" t="str">
        <f>問題一覧!G86&amp;"個"</f>
        <v>5個</v>
      </c>
      <c r="E86" s="7"/>
      <c r="F86" s="23"/>
    </row>
    <row r="87" spans="1:6" ht="33.75" customHeight="1">
      <c r="A87" s="23">
        <f>問題一覧!A87</f>
        <v>86</v>
      </c>
      <c r="B87" s="23" t="str">
        <f>問題一覧!B87</f>
        <v>併存症</v>
      </c>
      <c r="C87" s="7" t="str">
        <f>問題一覧!D87</f>
        <v>喘息患者の気管支痙攣を予防する工夫は。</v>
      </c>
      <c r="D87" s="23" t="str">
        <f>問題一覧!G87&amp;"個"</f>
        <v>4個</v>
      </c>
      <c r="E87" s="7"/>
      <c r="F87" s="23"/>
    </row>
    <row r="88" spans="1:6" ht="33.75" customHeight="1">
      <c r="A88" s="23">
        <f>問題一覧!A88</f>
        <v>87</v>
      </c>
      <c r="B88" s="23" t="str">
        <f>問題一覧!B88</f>
        <v>併存症</v>
      </c>
      <c r="C88" s="7" t="str">
        <f>問題一覧!D88</f>
        <v>睡眠時無呼吸（OSA）患者の注意点は。</v>
      </c>
      <c r="D88" s="23" t="str">
        <f>問題一覧!G88&amp;"個"</f>
        <v>6個</v>
      </c>
      <c r="E88" s="7"/>
      <c r="F88" s="23"/>
    </row>
    <row r="89" spans="1:6" ht="33.75" customHeight="1">
      <c r="A89" s="23">
        <f>問題一覧!A89</f>
        <v>88</v>
      </c>
      <c r="B89" s="23" t="str">
        <f>問題一覧!B89</f>
        <v>併存症</v>
      </c>
      <c r="C89" s="7" t="str">
        <f>問題一覧!D89</f>
        <v>肥満患者の麻酔の注意点は。</v>
      </c>
      <c r="D89" s="23" t="str">
        <f>問題一覧!G89&amp;"個"</f>
        <v>6個</v>
      </c>
      <c r="E89" s="7"/>
      <c r="F89" s="23"/>
    </row>
    <row r="90" spans="1:6" ht="33.75" customHeight="1">
      <c r="A90" s="23">
        <f>問題一覧!A90</f>
        <v>89</v>
      </c>
      <c r="B90" s="23" t="str">
        <f>問題一覧!B90</f>
        <v>併存症</v>
      </c>
      <c r="C90" s="7" t="str">
        <f>問題一覧!D90</f>
        <v>糖尿病患者の術中血糖管理は。</v>
      </c>
      <c r="D90" s="23" t="str">
        <f>問題一覧!G90&amp;"個"</f>
        <v>3個</v>
      </c>
      <c r="E90" s="7"/>
      <c r="F90" s="23"/>
    </row>
    <row r="91" spans="1:6" ht="33.75" customHeight="1">
      <c r="A91" s="23">
        <f>問題一覧!A91</f>
        <v>90</v>
      </c>
      <c r="B91" s="23" t="str">
        <f>問題一覧!B91</f>
        <v>併存症</v>
      </c>
      <c r="C91" s="7" t="str">
        <f>問題一覧!D91</f>
        <v>糖尿病患者に特有の周術期リスクは。</v>
      </c>
      <c r="D91" s="23" t="str">
        <f>問題一覧!G91&amp;"個"</f>
        <v>4個</v>
      </c>
      <c r="E91" s="7"/>
      <c r="F91" s="23"/>
    </row>
    <row r="92" spans="1:6" ht="33.75" customHeight="1">
      <c r="A92" s="23">
        <f>問題一覧!A92</f>
        <v>91</v>
      </c>
      <c r="B92" s="23" t="str">
        <f>問題一覧!B92</f>
        <v>併存症</v>
      </c>
      <c r="C92" s="7" t="str">
        <f>問題一覧!D92</f>
        <v>透析患者の周術期管理の注意点は。</v>
      </c>
      <c r="D92" s="23" t="str">
        <f>問題一覧!G92&amp;"個"</f>
        <v>6個</v>
      </c>
      <c r="E92" s="7"/>
      <c r="F92" s="23"/>
    </row>
    <row r="93" spans="1:6" ht="33.75" customHeight="1">
      <c r="A93" s="23">
        <f>問題一覧!A93</f>
        <v>92</v>
      </c>
      <c r="B93" s="23" t="str">
        <f>問題一覧!B93</f>
        <v>併存症</v>
      </c>
      <c r="C93" s="7" t="str">
        <f>問題一覧!D93</f>
        <v>肝硬変患者の麻酔の注意点は。</v>
      </c>
      <c r="D93" s="23" t="str">
        <f>問題一覧!G93&amp;"個"</f>
        <v>6個</v>
      </c>
      <c r="E93" s="7"/>
      <c r="F93" s="23"/>
    </row>
    <row r="94" spans="1:6" ht="33.75" customHeight="1">
      <c r="A94" s="23">
        <f>問題一覧!A94</f>
        <v>93</v>
      </c>
      <c r="B94" s="23" t="str">
        <f>問題一覧!B94</f>
        <v>併存症</v>
      </c>
      <c r="C94" s="7" t="str">
        <f>問題一覧!D94</f>
        <v>甲状腺機能亢進症の周術期の注意点は。</v>
      </c>
      <c r="D94" s="23" t="str">
        <f>問題一覧!G94&amp;"個"</f>
        <v>4個</v>
      </c>
      <c r="E94" s="7"/>
      <c r="F94" s="23"/>
    </row>
    <row r="95" spans="1:6" ht="33.75" customHeight="1">
      <c r="A95" s="23">
        <f>問題一覧!A95</f>
        <v>94</v>
      </c>
      <c r="B95" s="23" t="str">
        <f>問題一覧!B95</f>
        <v>併存症</v>
      </c>
      <c r="C95" s="7" t="str">
        <f>問題一覧!D95</f>
        <v>甲状腺機能低下症の周術期の注意点は。</v>
      </c>
      <c r="D95" s="23" t="str">
        <f>問題一覧!G95&amp;"個"</f>
        <v>6個</v>
      </c>
      <c r="E95" s="7"/>
      <c r="F95" s="23"/>
    </row>
    <row r="96" spans="1:6" ht="33.75" customHeight="1">
      <c r="A96" s="23">
        <f>問題一覧!A96</f>
        <v>95</v>
      </c>
      <c r="B96" s="23" t="str">
        <f>問題一覧!B96</f>
        <v>併存症</v>
      </c>
      <c r="C96" s="7" t="str">
        <f>問題一覧!D96</f>
        <v>ステロイド長期内服患者の周術期対応は。</v>
      </c>
      <c r="D96" s="23" t="str">
        <f>問題一覧!G96&amp;"個"</f>
        <v>4個</v>
      </c>
      <c r="E96" s="7"/>
      <c r="F96" s="23"/>
    </row>
    <row r="97" spans="1:6" ht="33.75" customHeight="1">
      <c r="A97" s="23">
        <f>問題一覧!A97</f>
        <v>96</v>
      </c>
      <c r="B97" s="23" t="str">
        <f>問題一覧!B97</f>
        <v>併存症</v>
      </c>
      <c r="C97" s="7" t="str">
        <f>問題一覧!D97</f>
        <v>褐色細胞腫の周術期管理は。</v>
      </c>
      <c r="D97" s="23" t="str">
        <f>問題一覧!G97&amp;"個"</f>
        <v>4個</v>
      </c>
      <c r="E97" s="7"/>
      <c r="F97" s="23"/>
    </row>
    <row r="98" spans="1:6" ht="33.75" customHeight="1">
      <c r="A98" s="23">
        <f>問題一覧!A98</f>
        <v>97</v>
      </c>
      <c r="B98" s="23" t="str">
        <f>問題一覧!B98</f>
        <v>併存症</v>
      </c>
      <c r="C98" s="7" t="str">
        <f>問題一覧!D98</f>
        <v>脳梗塞の既往がある患者の術中管理は。</v>
      </c>
      <c r="D98" s="23" t="str">
        <f>問題一覧!G98&amp;"個"</f>
        <v>5個</v>
      </c>
      <c r="E98" s="7"/>
      <c r="F98" s="23"/>
    </row>
    <row r="99" spans="1:6" ht="33.75" customHeight="1">
      <c r="A99" s="23">
        <f>問題一覧!A99</f>
        <v>98</v>
      </c>
      <c r="B99" s="23" t="str">
        <f>問題一覧!B99</f>
        <v>併存症</v>
      </c>
      <c r="C99" s="7" t="str">
        <f>問題一覧!D99</f>
        <v>てんかん患者の周術期の注意点は。</v>
      </c>
      <c r="D99" s="23" t="str">
        <f>問題一覧!G99&amp;"個"</f>
        <v>4個</v>
      </c>
      <c r="E99" s="7"/>
      <c r="F99" s="23"/>
    </row>
    <row r="100" spans="1:6" ht="33.75" customHeight="1">
      <c r="A100" s="23">
        <f>問題一覧!A100</f>
        <v>99</v>
      </c>
      <c r="B100" s="23" t="str">
        <f>問題一覧!B100</f>
        <v>併存症</v>
      </c>
      <c r="C100" s="7" t="str">
        <f>問題一覧!D100</f>
        <v>パーキンソン病患者の注意点は。</v>
      </c>
      <c r="D100" s="23" t="str">
        <f>問題一覧!G100&amp;"個"</f>
        <v>5個</v>
      </c>
      <c r="E100" s="7"/>
      <c r="F100" s="23"/>
    </row>
    <row r="101" spans="1:6" ht="33.75" customHeight="1">
      <c r="A101" s="23">
        <f>問題一覧!A101</f>
        <v>100</v>
      </c>
      <c r="B101" s="23" t="str">
        <f>問題一覧!B101</f>
        <v>併存症</v>
      </c>
      <c r="C101" s="7" t="str">
        <f>問題一覧!D101</f>
        <v>重症筋無力症の患者の麻酔の注意点は。</v>
      </c>
      <c r="D101" s="23" t="str">
        <f>問題一覧!G101&amp;"個"</f>
        <v>4個</v>
      </c>
      <c r="E101" s="7"/>
      <c r="F101" s="23"/>
    </row>
    <row r="102" spans="1:6" ht="33.75" customHeight="1">
      <c r="A102" s="23">
        <f>問題一覧!A102</f>
        <v>101</v>
      </c>
      <c r="B102" s="23" t="str">
        <f>問題一覧!B102</f>
        <v>併存症</v>
      </c>
      <c r="C102" s="7" t="str">
        <f>問題一覧!D102</f>
        <v>関節リウマチ患者の気道管理の注意点は。</v>
      </c>
      <c r="D102" s="23" t="str">
        <f>問題一覧!G102&amp;"個"</f>
        <v>5個</v>
      </c>
      <c r="E102" s="7"/>
      <c r="F102" s="23"/>
    </row>
    <row r="103" spans="1:6" ht="33.75" customHeight="1">
      <c r="A103" s="23">
        <f>問題一覧!A103</f>
        <v>102</v>
      </c>
      <c r="B103" s="23" t="str">
        <f>問題一覧!B103</f>
        <v>併存症</v>
      </c>
      <c r="C103" s="7" t="str">
        <f>問題一覧!D103</f>
        <v>高齢者の麻酔で注意することは。</v>
      </c>
      <c r="D103" s="23" t="str">
        <f>問題一覧!G103&amp;"個"</f>
        <v>6個</v>
      </c>
      <c r="E103" s="7"/>
      <c r="F103" s="23"/>
    </row>
    <row r="104" spans="1:6" ht="33.75" customHeight="1">
      <c r="A104" s="23">
        <f>問題一覧!A104</f>
        <v>103</v>
      </c>
      <c r="B104" s="23" t="str">
        <f>問題一覧!B104</f>
        <v>併存症</v>
      </c>
      <c r="C104" s="7" t="str">
        <f>問題一覧!D104</f>
        <v>認知症患者の周術期の注意点は。</v>
      </c>
      <c r="D104" s="23" t="str">
        <f>問題一覧!G104&amp;"個"</f>
        <v>5個</v>
      </c>
      <c r="E104" s="7"/>
      <c r="F104" s="23"/>
    </row>
    <row r="105" spans="1:6" ht="33.75" customHeight="1">
      <c r="A105" s="23">
        <f>問題一覧!A105</f>
        <v>104</v>
      </c>
      <c r="B105" s="23" t="str">
        <f>問題一覧!B105</f>
        <v>併存症</v>
      </c>
      <c r="C105" s="7" t="str">
        <f>問題一覧!D105</f>
        <v>術前貧血への対応と術中の注意点は。</v>
      </c>
      <c r="D105" s="23" t="str">
        <f>問題一覧!G105&amp;"個"</f>
        <v>4個</v>
      </c>
      <c r="E105" s="7"/>
      <c r="F105" s="23"/>
    </row>
    <row r="106" spans="1:6" ht="33.75" customHeight="1">
      <c r="A106" s="23">
        <f>問題一覧!A106</f>
        <v>105</v>
      </c>
      <c r="B106" s="23" t="str">
        <f>問題一覧!B106</f>
        <v>併存症</v>
      </c>
      <c r="C106" s="7" t="str">
        <f>問題一覧!D106</f>
        <v>ワルファリン・DOACの周術期の休薬は。</v>
      </c>
      <c r="D106" s="23" t="str">
        <f>問題一覧!G106&amp;"個"</f>
        <v>3個</v>
      </c>
      <c r="E106" s="7"/>
      <c r="F106" s="23"/>
    </row>
    <row r="107" spans="1:6" ht="33.75" customHeight="1">
      <c r="A107" s="23">
        <f>問題一覧!A107</f>
        <v>106</v>
      </c>
      <c r="B107" s="23" t="str">
        <f>問題一覧!B107</f>
        <v>併存症</v>
      </c>
      <c r="C107" s="7" t="str">
        <f>問題一覧!D107</f>
        <v>妊婦の非産科手術の注意点は。</v>
      </c>
      <c r="D107" s="23" t="str">
        <f>問題一覧!G107&amp;"個"</f>
        <v>6個</v>
      </c>
      <c r="E107" s="7"/>
      <c r="F107" s="23"/>
    </row>
    <row r="108" spans="1:6" ht="33.75" customHeight="1">
      <c r="A108" s="23">
        <f>問題一覧!A108</f>
        <v>107</v>
      </c>
      <c r="B108" s="23" t="str">
        <f>問題一覧!B108</f>
        <v>併存症</v>
      </c>
      <c r="C108" s="7" t="str">
        <f>問題一覧!D108</f>
        <v>誤嚥のリスクが高い患者と対策は。</v>
      </c>
      <c r="D108" s="23" t="str">
        <f>問題一覧!G108&amp;"個"</f>
        <v>5個</v>
      </c>
      <c r="E108" s="7"/>
      <c r="F108" s="23"/>
    </row>
    <row r="109" spans="1:6" ht="33.75" customHeight="1">
      <c r="A109" s="23">
        <f>問題一覧!A109</f>
        <v>108</v>
      </c>
      <c r="B109" s="23" t="str">
        <f>問題一覧!B109</f>
        <v>併存症</v>
      </c>
      <c r="C109" s="7" t="str">
        <f>問題一覧!D109</f>
        <v>アルコール多飲者の周術期の注意点は。</v>
      </c>
      <c r="D109" s="23" t="str">
        <f>問題一覧!G109&amp;"個"</f>
        <v>5個</v>
      </c>
      <c r="E109" s="7"/>
      <c r="F109" s="23"/>
    </row>
    <row r="110" spans="1:6" ht="33.75" customHeight="1">
      <c r="A110" s="23">
        <f>問題一覧!A110</f>
        <v>109</v>
      </c>
      <c r="B110" s="23" t="str">
        <f>問題一覧!B110</f>
        <v>併存症</v>
      </c>
      <c r="C110" s="7" t="str">
        <f>問題一覧!D110</f>
        <v>喫煙者の周術期リスクと禁煙の目安は。</v>
      </c>
      <c r="D110" s="23" t="str">
        <f>問題一覧!G110&amp;"個"</f>
        <v>4個</v>
      </c>
      <c r="E110" s="7"/>
      <c r="F110" s="23"/>
    </row>
    <row r="111" spans="1:6" ht="33.75" customHeight="1">
      <c r="A111" s="23">
        <f>問題一覧!A111</f>
        <v>110</v>
      </c>
      <c r="B111" s="23" t="str">
        <f>問題一覧!B111</f>
        <v>併存症</v>
      </c>
      <c r="C111" s="7" t="str">
        <f>問題一覧!D111</f>
        <v>悪性高熱素因のある患者の麻酔準備は。</v>
      </c>
      <c r="D111" s="23" t="str">
        <f>問題一覧!G111&amp;"個"</f>
        <v>4個</v>
      </c>
      <c r="E111" s="7"/>
      <c r="F111" s="23"/>
    </row>
    <row r="112" spans="1:6" ht="33.75" customHeight="1">
      <c r="A112" s="23">
        <f>問題一覧!A112</f>
        <v>111</v>
      </c>
      <c r="B112" s="23" t="str">
        <f>問題一覧!B112</f>
        <v>併存症</v>
      </c>
      <c r="C112" s="7" t="str">
        <f>問題一覧!D112</f>
        <v>周術期アナフィラキシーの原因薬として多いものは。</v>
      </c>
      <c r="D112" s="23" t="str">
        <f>問題一覧!G112&amp;"個"</f>
        <v>6個</v>
      </c>
      <c r="E112" s="7"/>
      <c r="F112" s="23"/>
    </row>
    <row r="113" spans="1:6" ht="33.75" customHeight="1">
      <c r="A113" s="23">
        <f>問題一覧!A113</f>
        <v>112</v>
      </c>
      <c r="B113" s="23" t="str">
        <f>問題一覧!B113</f>
        <v>併存症</v>
      </c>
      <c r="C113" s="7" t="str">
        <f>問題一覧!D113</f>
        <v>筋ジストロフィーなど筋疾患患者の注意点は。</v>
      </c>
      <c r="D113" s="23" t="str">
        <f>問題一覧!G113&amp;"個"</f>
        <v>5個</v>
      </c>
      <c r="E113" s="7"/>
      <c r="F113" s="23"/>
    </row>
    <row r="114" spans="1:6" ht="33.75" customHeight="1">
      <c r="A114" s="23">
        <f>問題一覧!A114</f>
        <v>113</v>
      </c>
      <c r="B114" s="23" t="str">
        <f>問題一覧!B114</f>
        <v>術式別</v>
      </c>
      <c r="C114" s="7" t="str">
        <f>問題一覧!D114</f>
        <v>気腹によって起こる生理学的変化は。</v>
      </c>
      <c r="D114" s="23" t="str">
        <f>問題一覧!G114&amp;"個"</f>
        <v>6個</v>
      </c>
      <c r="E114" s="7"/>
      <c r="F114" s="23"/>
    </row>
    <row r="115" spans="1:6" ht="33.75" customHeight="1">
      <c r="A115" s="23">
        <f>問題一覧!A115</f>
        <v>114</v>
      </c>
      <c r="B115" s="23" t="str">
        <f>問題一覧!B115</f>
        <v>術式別</v>
      </c>
      <c r="C115" s="7" t="str">
        <f>問題一覧!D115</f>
        <v>腹腔鏡手術で起こりやすいアクシデントは。</v>
      </c>
      <c r="D115" s="23" t="str">
        <f>問題一覧!G115&amp;"個"</f>
        <v>5個</v>
      </c>
      <c r="E115" s="7"/>
      <c r="F115" s="23"/>
    </row>
    <row r="116" spans="1:6" ht="33.75" customHeight="1">
      <c r="A116" s="23">
        <f>問題一覧!A116</f>
        <v>115</v>
      </c>
      <c r="B116" s="23" t="str">
        <f>問題一覧!B116</f>
        <v>術式別</v>
      </c>
      <c r="C116" s="7" t="str">
        <f>問題一覧!D116</f>
        <v>術中にCO2塞栓を疑う所見と対応は。</v>
      </c>
      <c r="D116" s="23" t="str">
        <f>問題一覧!G116&amp;"個"</f>
        <v>6個</v>
      </c>
      <c r="E116" s="7"/>
      <c r="F116" s="23"/>
    </row>
    <row r="117" spans="1:6" ht="33.75" customHeight="1">
      <c r="A117" s="23">
        <f>問題一覧!A117</f>
        <v>116</v>
      </c>
      <c r="B117" s="23" t="str">
        <f>問題一覧!B117</f>
        <v>術式別</v>
      </c>
      <c r="C117" s="7" t="str">
        <f>問題一覧!D117</f>
        <v>強い頭低位（ロボット支援前立腺全摘など）の注意点は。</v>
      </c>
      <c r="D117" s="23" t="str">
        <f>問題一覧!G117&amp;"個"</f>
        <v>5個</v>
      </c>
      <c r="E117" s="7"/>
      <c r="F117" s="23"/>
    </row>
    <row r="118" spans="1:6" ht="33.75" customHeight="1">
      <c r="A118" s="23">
        <f>問題一覧!A118</f>
        <v>117</v>
      </c>
      <c r="B118" s="23" t="str">
        <f>問題一覧!B118</f>
        <v>術式別</v>
      </c>
      <c r="C118" s="7" t="str">
        <f>問題一覧!D118</f>
        <v>分離肺換気中にSpO2が低下した。対応は。</v>
      </c>
      <c r="D118" s="23" t="str">
        <f>問題一覧!G118&amp;"個"</f>
        <v>6個</v>
      </c>
      <c r="E118" s="7"/>
      <c r="F118" s="23"/>
    </row>
    <row r="119" spans="1:6" ht="33.75" customHeight="1">
      <c r="A119" s="23">
        <f>問題一覧!A119</f>
        <v>118</v>
      </c>
      <c r="B119" s="23" t="str">
        <f>問題一覧!B119</f>
        <v>術式別</v>
      </c>
      <c r="C119" s="7" t="str">
        <f>問題一覧!D119</f>
        <v>肺切除術の周術期の注意点は。</v>
      </c>
      <c r="D119" s="23" t="str">
        <f>問題一覧!G119&amp;"個"</f>
        <v>5個</v>
      </c>
      <c r="E119" s="7"/>
      <c r="F119" s="23"/>
    </row>
    <row r="120" spans="1:6" ht="33.75" customHeight="1">
      <c r="A120" s="23">
        <f>問題一覧!A120</f>
        <v>119</v>
      </c>
      <c r="B120" s="23" t="str">
        <f>問題一覧!B120</f>
        <v>術式別</v>
      </c>
      <c r="C120" s="7" t="str">
        <f>問題一覧!D120</f>
        <v>頸動脈内膜剥離術（CEA）の管理の要点は。</v>
      </c>
      <c r="D120" s="23" t="str">
        <f>問題一覧!G120&amp;"個"</f>
        <v>5個</v>
      </c>
      <c r="E120" s="7"/>
      <c r="F120" s="23"/>
    </row>
    <row r="121" spans="1:6" ht="33.75" customHeight="1">
      <c r="A121" s="23">
        <f>問題一覧!A121</f>
        <v>120</v>
      </c>
      <c r="B121" s="23" t="str">
        <f>問題一覧!B121</f>
        <v>術式別</v>
      </c>
      <c r="C121" s="7" t="str">
        <f>問題一覧!D121</f>
        <v>開頭術の麻酔管理の要点は。</v>
      </c>
      <c r="D121" s="23" t="str">
        <f>問題一覧!G121&amp;"個"</f>
        <v>5個</v>
      </c>
      <c r="E121" s="7"/>
      <c r="F121" s="23"/>
    </row>
    <row r="122" spans="1:6" ht="33.75" customHeight="1">
      <c r="A122" s="23">
        <f>問題一覧!A122</f>
        <v>121</v>
      </c>
      <c r="B122" s="23" t="str">
        <f>問題一覧!B122</f>
        <v>術式別</v>
      </c>
      <c r="C122" s="7" t="str">
        <f>問題一覧!D122</f>
        <v>開頭術の座位（頭高位）手術で最も注意すべき合併症（1個）と対応（5個）は。</v>
      </c>
      <c r="D122" s="23" t="str">
        <f>問題一覧!G122&amp;"個"</f>
        <v>5個</v>
      </c>
      <c r="E122" s="7"/>
      <c r="F122" s="23"/>
    </row>
    <row r="123" spans="1:6" ht="33.75" customHeight="1">
      <c r="A123" s="23">
        <f>問題一覧!A123</f>
        <v>122</v>
      </c>
      <c r="B123" s="23" t="str">
        <f>問題一覧!B123</f>
        <v>術式別</v>
      </c>
      <c r="C123" s="7" t="str">
        <f>問題一覧!D123</f>
        <v>甲状腺手術の周術期の注意点は。</v>
      </c>
      <c r="D123" s="23" t="str">
        <f>問題一覧!G123&amp;"個"</f>
        <v>4個</v>
      </c>
      <c r="E123" s="7"/>
      <c r="F123" s="23"/>
    </row>
    <row r="124" spans="1:6" ht="33.75" customHeight="1">
      <c r="A124" s="23">
        <f>問題一覧!A124</f>
        <v>123</v>
      </c>
      <c r="B124" s="23" t="str">
        <f>問題一覧!B124</f>
        <v>術式別</v>
      </c>
      <c r="C124" s="7" t="str">
        <f>問題一覧!D124</f>
        <v>扁桃摘出術で注意することは。</v>
      </c>
      <c r="D124" s="23" t="str">
        <f>問題一覧!G124&amp;"個"</f>
        <v>3個</v>
      </c>
      <c r="E124" s="7"/>
      <c r="F124" s="23"/>
    </row>
    <row r="125" spans="1:6" ht="33.75" customHeight="1">
      <c r="A125" s="23">
        <f>問題一覧!A125</f>
        <v>124</v>
      </c>
      <c r="B125" s="23" t="str">
        <f>問題一覧!B125</f>
        <v>術式別</v>
      </c>
      <c r="C125" s="7" t="str">
        <f>問題一覧!D125</f>
        <v>気道レーザー手術での火災予防と対応は。</v>
      </c>
      <c r="D125" s="23" t="str">
        <f>問題一覧!G125&amp;"個"</f>
        <v>4個</v>
      </c>
      <c r="E125" s="7"/>
      <c r="F125" s="23"/>
    </row>
    <row r="126" spans="1:6" ht="33.75" customHeight="1">
      <c r="A126" s="23">
        <f>問題一覧!A126</f>
        <v>125</v>
      </c>
      <c r="B126" s="23" t="str">
        <f>問題一覧!B126</f>
        <v>術式別</v>
      </c>
      <c r="C126" s="7" t="str">
        <f>問題一覧!D126</f>
        <v>骨セメント使用時に起こる合併症と対策は。</v>
      </c>
      <c r="D126" s="23" t="str">
        <f>問題一覧!G126&amp;"個"</f>
        <v>4個</v>
      </c>
      <c r="E126" s="7"/>
      <c r="F126" s="23"/>
    </row>
    <row r="127" spans="1:6" ht="33.75" customHeight="1">
      <c r="A127" s="23">
        <f>問題一覧!A127</f>
        <v>126</v>
      </c>
      <c r="B127" s="23" t="str">
        <f>問題一覧!B127</f>
        <v>術式別</v>
      </c>
      <c r="C127" s="7" t="str">
        <f>問題一覧!D127</f>
        <v>駆血帯（ターニケット）使用時の注意点は。</v>
      </c>
      <c r="D127" s="23" t="str">
        <f>問題一覧!G127&amp;"個"</f>
        <v>4個</v>
      </c>
      <c r="E127" s="7"/>
      <c r="F127" s="23"/>
    </row>
    <row r="128" spans="1:6" ht="33.75" customHeight="1">
      <c r="A128" s="23">
        <f>問題一覧!A128</f>
        <v>127</v>
      </c>
      <c r="B128" s="23" t="str">
        <f>問題一覧!B128</f>
        <v>術式別</v>
      </c>
      <c r="C128" s="7" t="str">
        <f>問題一覧!D128</f>
        <v>腹臥位手術の注意点は。</v>
      </c>
      <c r="D128" s="23" t="str">
        <f>問題一覧!G128&amp;"個"</f>
        <v>5個</v>
      </c>
      <c r="E128" s="7"/>
      <c r="F128" s="23"/>
    </row>
    <row r="129" spans="1:6" ht="33.75" customHeight="1">
      <c r="A129" s="23">
        <f>問題一覧!A129</f>
        <v>128</v>
      </c>
      <c r="B129" s="23" t="str">
        <f>問題一覧!B129</f>
        <v>術式別</v>
      </c>
      <c r="C129" s="7" t="str">
        <f>問題一覧!D129</f>
        <v>TUR症候群の症状と対応は。</v>
      </c>
      <c r="D129" s="23" t="str">
        <f>問題一覧!G129&amp;"個"</f>
        <v>5個</v>
      </c>
      <c r="E129" s="7"/>
      <c r="F129" s="23"/>
    </row>
    <row r="130" spans="1:6" ht="33.75" customHeight="1">
      <c r="A130" s="23">
        <f>問題一覧!A130</f>
        <v>129</v>
      </c>
      <c r="B130" s="23" t="str">
        <f>問題一覧!B130</f>
        <v>術式別</v>
      </c>
      <c r="C130" s="7" t="str">
        <f>問題一覧!D130</f>
        <v>経尿道的手術（TUR-Bt）で起こりやすいアクシデントは。</v>
      </c>
      <c r="D130" s="23" t="str">
        <f>問題一覧!G130&amp;"個"</f>
        <v>3個</v>
      </c>
      <c r="E130" s="7"/>
      <c r="F130" s="23"/>
    </row>
    <row r="131" spans="1:6" ht="33.75" customHeight="1">
      <c r="A131" s="23">
        <f>問題一覧!A131</f>
        <v>130</v>
      </c>
      <c r="B131" s="23" t="str">
        <f>問題一覧!B131</f>
        <v>術式別</v>
      </c>
      <c r="C131" s="7" t="str">
        <f>問題一覧!D131</f>
        <v>脊椎麻酔下帝王切開の管理の要点は。</v>
      </c>
      <c r="D131" s="23" t="str">
        <f>問題一覧!G131&amp;"個"</f>
        <v>6個</v>
      </c>
      <c r="E131" s="7"/>
      <c r="F131" s="23"/>
    </row>
    <row r="132" spans="1:6" ht="33.75" customHeight="1">
      <c r="A132" s="23">
        <f>問題一覧!A132</f>
        <v>131</v>
      </c>
      <c r="B132" s="23" t="str">
        <f>問題一覧!B132</f>
        <v>術式別</v>
      </c>
      <c r="C132" s="7" t="str">
        <f>問題一覧!D132</f>
        <v>産科危機的出血への対応は。</v>
      </c>
      <c r="D132" s="23" t="str">
        <f>問題一覧!G132&amp;"個"</f>
        <v>5個</v>
      </c>
      <c r="E132" s="7"/>
      <c r="F132" s="23"/>
    </row>
    <row r="133" spans="1:6" ht="33.75" customHeight="1">
      <c r="A133" s="23">
        <f>問題一覧!A133</f>
        <v>132</v>
      </c>
      <c r="B133" s="23" t="str">
        <f>問題一覧!B133</f>
        <v>術式別</v>
      </c>
      <c r="C133" s="7" t="str">
        <f>問題一覧!D133</f>
        <v>肝切除術の麻酔管理の要点は。</v>
      </c>
      <c r="D133" s="23" t="str">
        <f>問題一覧!G133&amp;"個"</f>
        <v>6個</v>
      </c>
      <c r="E133" s="7"/>
      <c r="F133" s="23"/>
    </row>
    <row r="134" spans="1:6" ht="33.75" customHeight="1">
      <c r="A134" s="23">
        <f>問題一覧!A134</f>
        <v>133</v>
      </c>
      <c r="B134" s="23" t="str">
        <f>問題一覧!B134</f>
        <v>術式別</v>
      </c>
      <c r="C134" s="7" t="str">
        <f>問題一覧!D134</f>
        <v>大動脈遮断（クランプ）と解除で起こることは。</v>
      </c>
      <c r="D134" s="23" t="str">
        <f>問題一覧!G134&amp;"個"</f>
        <v>3個</v>
      </c>
      <c r="E134" s="7"/>
      <c r="F134" s="23"/>
    </row>
    <row r="135" spans="1:6" ht="33.75" customHeight="1">
      <c r="A135" s="23">
        <f>問題一覧!A135</f>
        <v>134</v>
      </c>
      <c r="B135" s="23" t="str">
        <f>問題一覧!B135</f>
        <v>術式別</v>
      </c>
      <c r="C135" s="7" t="str">
        <f>問題一覧!D135</f>
        <v>外傷・大量出血症例の管理の要点は。</v>
      </c>
      <c r="D135" s="23" t="str">
        <f>問題一覧!G135&amp;"個"</f>
        <v>6個</v>
      </c>
      <c r="E135" s="7"/>
      <c r="F135" s="23"/>
    </row>
    <row r="136" spans="1:6" ht="33.75" customHeight="1">
      <c r="A136" s="23">
        <f>問題一覧!A136</f>
        <v>135</v>
      </c>
      <c r="B136" s="23" t="str">
        <f>問題一覧!B136</f>
        <v>術式別</v>
      </c>
      <c r="C136" s="7" t="str">
        <f>問題一覧!D136</f>
        <v>緊急手術の全身麻酔の基本方針は。</v>
      </c>
      <c r="D136" s="23" t="str">
        <f>問題一覧!G136&amp;"個"</f>
        <v>5個</v>
      </c>
      <c r="E136" s="7"/>
      <c r="F136" s="23"/>
    </row>
    <row r="137" spans="1:6" ht="33.75" customHeight="1">
      <c r="A137" s="23">
        <f>問題一覧!A137</f>
        <v>136</v>
      </c>
      <c r="B137" s="23" t="str">
        <f>問題一覧!B137</f>
        <v>術式別</v>
      </c>
      <c r="C137" s="7" t="str">
        <f>問題一覧!D137</f>
        <v>眼科手術で注意する反射とその対応は。</v>
      </c>
      <c r="D137" s="23" t="str">
        <f>問題一覧!G137&amp;"個"</f>
        <v>2個</v>
      </c>
      <c r="E137" s="7"/>
      <c r="F137" s="23"/>
    </row>
    <row r="138" spans="1:6" ht="33.75" customHeight="1">
      <c r="A138" s="23">
        <f>問題一覧!A138</f>
        <v>137</v>
      </c>
      <c r="B138" s="23" t="str">
        <f>問題一覧!B138</f>
        <v>術式別</v>
      </c>
      <c r="C138" s="7" t="str">
        <f>問題一覧!D138</f>
        <v>手術室外（内視鏡・IVRなど）の麻酔で注意することは。</v>
      </c>
      <c r="D138" s="23" t="str">
        <f>問題一覧!G138&amp;"個"</f>
        <v>4個</v>
      </c>
      <c r="E138" s="7"/>
      <c r="F138" s="23"/>
    </row>
    <row r="139" spans="1:6" ht="33.75" customHeight="1">
      <c r="A139" s="23">
        <f>問題一覧!A139</f>
        <v>138</v>
      </c>
      <c r="B139" s="23" t="str">
        <f>問題一覧!B139</f>
        <v>術式別</v>
      </c>
      <c r="C139" s="7" t="str">
        <f>問題一覧!D139</f>
        <v>脊椎麻酔で高位（全脊椎麻酔）になったときの症状。</v>
      </c>
      <c r="D139" s="23" t="str">
        <f>問題一覧!G139&amp;"個"</f>
        <v>3個</v>
      </c>
      <c r="E139" s="7"/>
      <c r="F139" s="23"/>
    </row>
    <row r="140" spans="1:6" ht="33.75" customHeight="1">
      <c r="A140" s="23">
        <f>問題一覧!A140</f>
        <v>139</v>
      </c>
      <c r="B140" s="23" t="str">
        <f>問題一覧!B140</f>
        <v>術式別</v>
      </c>
      <c r="C140" s="7" t="str">
        <f>問題一覧!D140</f>
        <v>硬膜外麻酔の合併症は（手技に問題がある場合を含む）。</v>
      </c>
      <c r="D140" s="23" t="str">
        <f>問題一覧!G140&amp;"個"</f>
        <v>6個</v>
      </c>
      <c r="E140" s="7"/>
      <c r="F140" s="23"/>
    </row>
    <row r="141" spans="1:6" ht="33.75" customHeight="1">
      <c r="A141" s="23">
        <f>問題一覧!A141</f>
        <v>140</v>
      </c>
      <c r="B141" s="23" t="str">
        <f>問題一覧!B141</f>
        <v>術式別</v>
      </c>
      <c r="C141" s="7" t="str">
        <f>問題一覧!D141</f>
        <v>末梢神経ブロックの合併症は。</v>
      </c>
      <c r="D141" s="23" t="str">
        <f>問題一覧!G141&amp;"個"</f>
        <v>5個</v>
      </c>
      <c r="E141" s="7"/>
      <c r="F141" s="23"/>
    </row>
    <row r="142" spans="1:6" ht="33.75" customHeight="1">
      <c r="A142" s="23">
        <f>問題一覧!A142</f>
        <v>141</v>
      </c>
      <c r="B142" s="23" t="str">
        <f>問題一覧!B142</f>
        <v>輸血・凝固</v>
      </c>
      <c r="C142" s="7" t="str">
        <f>問題一覧!D142</f>
        <v>赤血球液（RBC）2単位でHbはどのくらい上がるか。</v>
      </c>
      <c r="D142" s="23" t="str">
        <f>問題一覧!G142&amp;"個"</f>
        <v>3個</v>
      </c>
      <c r="E142" s="7"/>
      <c r="F142" s="23"/>
    </row>
    <row r="143" spans="1:6" ht="33.75" customHeight="1">
      <c r="A143" s="23">
        <f>問題一覧!A143</f>
        <v>142</v>
      </c>
      <c r="B143" s="23" t="str">
        <f>問題一覧!B143</f>
        <v>輸血・凝固</v>
      </c>
      <c r="C143" s="7" t="str">
        <f>問題一覧!D143</f>
        <v>術中の輸血開始の一般的な目安（トリガー）は。</v>
      </c>
      <c r="D143" s="23" t="str">
        <f>問題一覧!G143&amp;"個"</f>
        <v>1個</v>
      </c>
      <c r="E143" s="7"/>
      <c r="F143" s="23"/>
    </row>
    <row r="144" spans="1:6" ht="33.75" customHeight="1">
      <c r="A144" s="23">
        <f>問題一覧!A144</f>
        <v>143</v>
      </c>
      <c r="B144" s="23" t="str">
        <f>問題一覧!B144</f>
        <v>輸血・凝固</v>
      </c>
      <c r="C144" s="7" t="str">
        <f>問題一覧!D144</f>
        <v>大量輸血の定義は。</v>
      </c>
      <c r="D144" s="23" t="str">
        <f>問題一覧!G144&amp;"個"</f>
        <v>2個</v>
      </c>
      <c r="E144" s="7"/>
      <c r="F144" s="23"/>
    </row>
    <row r="145" spans="1:6" ht="33.75" customHeight="1">
      <c r="A145" s="23">
        <f>問題一覧!A145</f>
        <v>144</v>
      </c>
      <c r="B145" s="23" t="str">
        <f>問題一覧!B145</f>
        <v>輸血・凝固</v>
      </c>
      <c r="C145" s="7" t="str">
        <f>問題一覧!D145</f>
        <v>大量輸血に伴う合併症は。</v>
      </c>
      <c r="D145" s="23" t="str">
        <f>問題一覧!G145&amp;"個"</f>
        <v>5個</v>
      </c>
      <c r="E145" s="7"/>
      <c r="F145" s="23"/>
    </row>
    <row r="146" spans="1:6" ht="33.75" customHeight="1">
      <c r="A146" s="23">
        <f>問題一覧!A146</f>
        <v>145</v>
      </c>
      <c r="B146" s="23" t="str">
        <f>問題一覧!B146</f>
        <v>輸血・凝固</v>
      </c>
      <c r="C146" s="7" t="str">
        <f>問題一覧!D146</f>
        <v>新鮮凍結血漿（FFP）の適応と投与量は。</v>
      </c>
      <c r="D146" s="23" t="str">
        <f>問題一覧!G146&amp;"個"</f>
        <v>4個</v>
      </c>
      <c r="E146" s="7"/>
      <c r="F146" s="23"/>
    </row>
    <row r="147" spans="1:6" ht="33.75" customHeight="1">
      <c r="A147" s="23">
        <f>問題一覧!A147</f>
        <v>146</v>
      </c>
      <c r="B147" s="23" t="str">
        <f>問題一覧!B147</f>
        <v>輸血・凝固</v>
      </c>
      <c r="C147" s="7" t="str">
        <f>問題一覧!D147</f>
        <v>血小板輸血の適応と効果の目安は。</v>
      </c>
      <c r="D147" s="23" t="str">
        <f>問題一覧!G147&amp;"個"</f>
        <v>3個</v>
      </c>
      <c r="E147" s="7"/>
      <c r="F147" s="23"/>
    </row>
    <row r="148" spans="1:6" ht="33.75" customHeight="1">
      <c r="A148" s="23">
        <f>問題一覧!A148</f>
        <v>147</v>
      </c>
      <c r="B148" s="23" t="str">
        <f>問題一覧!B148</f>
        <v>輸血・凝固</v>
      </c>
      <c r="C148" s="7" t="str">
        <f>問題一覧!D148</f>
        <v>フィブリノゲンの目標値と補充方法は。</v>
      </c>
      <c r="D148" s="23" t="str">
        <f>問題一覧!G148&amp;"個"</f>
        <v>3個</v>
      </c>
      <c r="E148" s="7"/>
      <c r="F148" s="23"/>
    </row>
    <row r="149" spans="1:6" ht="33.75" customHeight="1">
      <c r="A149" s="23">
        <f>問題一覧!A149</f>
        <v>148</v>
      </c>
      <c r="B149" s="23" t="str">
        <f>問題一覧!B149</f>
        <v>輸血・凝固</v>
      </c>
      <c r="C149" s="7" t="str">
        <f>問題一覧!D149</f>
        <v>輸血の急性副作用を挙げよ。</v>
      </c>
      <c r="D149" s="23" t="str">
        <f>問題一覧!G149&amp;"個"</f>
        <v>6個</v>
      </c>
      <c r="E149" s="7"/>
      <c r="F149" s="23"/>
    </row>
    <row r="150" spans="1:6" ht="33.75" customHeight="1">
      <c r="A150" s="23">
        <f>問題一覧!A150</f>
        <v>149</v>
      </c>
      <c r="B150" s="23" t="str">
        <f>問題一覧!B150</f>
        <v>輸血・凝固</v>
      </c>
      <c r="C150" s="7" t="str">
        <f>問題一覧!D150</f>
        <v>全身麻酔中のABO不適合輸血に気づく所見は。</v>
      </c>
      <c r="D150" s="23" t="str">
        <f>問題一覧!G150&amp;"個"</f>
        <v>5個</v>
      </c>
      <c r="E150" s="7"/>
      <c r="F150" s="23"/>
    </row>
    <row r="151" spans="1:6" ht="33.75" customHeight="1">
      <c r="A151" s="23">
        <f>問題一覧!A151</f>
        <v>150</v>
      </c>
      <c r="B151" s="23" t="str">
        <f>問題一覧!B151</f>
        <v>輸血・凝固</v>
      </c>
      <c r="C151" s="7" t="str">
        <f>問題一覧!D151</f>
        <v>TRALIとTACOの違いは。</v>
      </c>
      <c r="D151" s="23" t="str">
        <f>問題一覧!G151&amp;"個"</f>
        <v>3個</v>
      </c>
      <c r="E151" s="7"/>
      <c r="F151" s="23"/>
    </row>
    <row r="152" spans="1:6" ht="33.75" customHeight="1">
      <c r="A152" s="23">
        <f>問題一覧!A152</f>
        <v>151</v>
      </c>
      <c r="B152" s="23" t="str">
        <f>問題一覧!B152</f>
        <v>輸血・凝固</v>
      </c>
      <c r="C152" s="7" t="str">
        <f>問題一覧!D152</f>
        <v>クエン酸中毒（低Ca血症）の所見と対応は。</v>
      </c>
      <c r="D152" s="23" t="str">
        <f>問題一覧!G152&amp;"個"</f>
        <v>4個</v>
      </c>
      <c r="E152" s="7"/>
      <c r="F152" s="23"/>
    </row>
    <row r="153" spans="1:6" ht="33.75" customHeight="1">
      <c r="A153" s="23">
        <f>問題一覧!A153</f>
        <v>152</v>
      </c>
      <c r="B153" s="23" t="str">
        <f>問題一覧!B153</f>
        <v>輸血・凝固</v>
      </c>
      <c r="C153" s="7" t="str">
        <f>問題一覧!D153</f>
        <v>術中の凝固能の評価方法は。</v>
      </c>
      <c r="D153" s="23" t="str">
        <f>問題一覧!G153&amp;"個"</f>
        <v>6個</v>
      </c>
      <c r="E153" s="7"/>
      <c r="F153" s="23"/>
    </row>
    <row r="154" spans="1:6" ht="33.75" customHeight="1">
      <c r="A154" s="23">
        <f>問題一覧!A154</f>
        <v>153</v>
      </c>
      <c r="B154" s="23" t="str">
        <f>問題一覧!B154</f>
        <v>輸血・凝固</v>
      </c>
      <c r="C154" s="7" t="str">
        <f>問題一覧!D154</f>
        <v>自己血輸血の種類は。</v>
      </c>
      <c r="D154" s="23" t="str">
        <f>問題一覧!G154&amp;"個"</f>
        <v>3個</v>
      </c>
      <c r="E154" s="7"/>
      <c r="F154" s="23"/>
    </row>
    <row r="155" spans="1:6" ht="33.75" customHeight="1">
      <c r="A155" s="23">
        <f>問題一覧!A155</f>
        <v>154</v>
      </c>
      <c r="B155" s="23" t="str">
        <f>問題一覧!B155</f>
        <v>輸血・凝固</v>
      </c>
      <c r="C155" s="7" t="str">
        <f>問題一覧!D155</f>
        <v>血液型が不明な緊急出血への輸血は。</v>
      </c>
      <c r="D155" s="23" t="str">
        <f>問題一覧!G155&amp;"個"</f>
        <v>4個</v>
      </c>
      <c r="E155" s="7"/>
      <c r="F155" s="23"/>
    </row>
    <row r="156" spans="1:6" ht="33.75" customHeight="1">
      <c r="A156" s="23">
        <f>問題一覧!A156</f>
        <v>155</v>
      </c>
      <c r="B156" s="23" t="str">
        <f>問題一覧!B156</f>
        <v>術後鎮痛</v>
      </c>
      <c r="C156" s="7" t="str">
        <f>問題一覧!D156</f>
        <v>multimodal analgesia（多角的鎮痛）の考え方は。</v>
      </c>
      <c r="D156" s="23" t="str">
        <f>問題一覧!G156&amp;"個"</f>
        <v>3個</v>
      </c>
      <c r="E156" s="7"/>
      <c r="F156" s="23"/>
    </row>
    <row r="157" spans="1:6" ht="33.75" customHeight="1">
      <c r="A157" s="23">
        <f>問題一覧!A157</f>
        <v>156</v>
      </c>
      <c r="B157" s="23" t="str">
        <f>問題一覧!B157</f>
        <v>術後鎮痛</v>
      </c>
      <c r="C157" s="7" t="str">
        <f>問題一覧!D157</f>
        <v>フェンタニルIV-PCAの一般的な設定は。</v>
      </c>
      <c r="D157" s="23" t="str">
        <f>問題一覧!G157&amp;"個"</f>
        <v>3個</v>
      </c>
      <c r="E157" s="7"/>
      <c r="F157" s="23"/>
    </row>
    <row r="158" spans="1:6" ht="33.75" customHeight="1">
      <c r="A158" s="23">
        <f>問題一覧!A158</f>
        <v>157</v>
      </c>
      <c r="B158" s="23" t="str">
        <f>問題一覧!B158</f>
        <v>術後鎮痛</v>
      </c>
      <c r="C158" s="7" t="str">
        <f>問題一覧!D158</f>
        <v>IV-PCAの注意点・合併症は。</v>
      </c>
      <c r="D158" s="23" t="str">
        <f>問題一覧!G158&amp;"個"</f>
        <v>4個</v>
      </c>
      <c r="E158" s="7"/>
      <c r="F158" s="23"/>
    </row>
    <row r="159" spans="1:6" ht="33.75" customHeight="1">
      <c r="A159" s="23">
        <f>問題一覧!A159</f>
        <v>158</v>
      </c>
      <c r="B159" s="23" t="str">
        <f>問題一覧!B159</f>
        <v>術後鎮痛</v>
      </c>
      <c r="C159" s="7" t="str">
        <f>問題一覧!D159</f>
        <v>硬膜外鎮痛の利点と適応は。</v>
      </c>
      <c r="D159" s="23" t="str">
        <f>問題一覧!G159&amp;"個"</f>
        <v>4個</v>
      </c>
      <c r="E159" s="7"/>
      <c r="F159" s="23"/>
    </row>
    <row r="160" spans="1:6" ht="33.75" customHeight="1">
      <c r="A160" s="23">
        <f>問題一覧!A160</f>
        <v>159</v>
      </c>
      <c r="B160" s="23" t="str">
        <f>問題一覧!B160</f>
        <v>術後鎮痛</v>
      </c>
      <c r="C160" s="7" t="str">
        <f>問題一覧!D160</f>
        <v>硬膜外血腫を疑う症状と対応は。</v>
      </c>
      <c r="D160" s="23" t="str">
        <f>問題一覧!G160&amp;"個"</f>
        <v>6個</v>
      </c>
      <c r="E160" s="7"/>
      <c r="F160" s="23"/>
    </row>
    <row r="161" spans="1:6" ht="33.75" customHeight="1">
      <c r="A161" s="23">
        <f>問題一覧!A161</f>
        <v>160</v>
      </c>
      <c r="B161" s="23" t="str">
        <f>問題一覧!B161</f>
        <v>術後鎮痛</v>
      </c>
      <c r="C161" s="7" t="str">
        <f>問題一覧!D161</f>
        <v>硬膜穿刺後頭痛（PDPH）の特徴と対応は。</v>
      </c>
      <c r="D161" s="23" t="str">
        <f>問題一覧!G161&amp;"個"</f>
        <v>3個</v>
      </c>
      <c r="E161" s="7"/>
      <c r="F161" s="23"/>
    </row>
    <row r="162" spans="1:6" ht="33.75" customHeight="1">
      <c r="A162" s="23">
        <f>問題一覧!A162</f>
        <v>161</v>
      </c>
      <c r="B162" s="23" t="str">
        <f>問題一覧!B162</f>
        <v>術後鎮痛</v>
      </c>
      <c r="C162" s="7" t="str">
        <f>問題一覧!D162</f>
        <v>術後痛の評価方法は。</v>
      </c>
      <c r="D162" s="23" t="str">
        <f>問題一覧!G162&amp;"個"</f>
        <v>4個</v>
      </c>
      <c r="E162" s="7"/>
      <c r="F162" s="23"/>
    </row>
    <row r="163" spans="1:6" ht="33.75" customHeight="1">
      <c r="A163" s="23">
        <f>問題一覧!A163</f>
        <v>162</v>
      </c>
      <c r="B163" s="23" t="str">
        <f>問題一覧!B163</f>
        <v>術後鎮痛</v>
      </c>
      <c r="C163" s="7" t="str">
        <f>問題一覧!D163</f>
        <v>術後鎮痛が不十分なときの弊害は。</v>
      </c>
      <c r="D163" s="23" t="str">
        <f>問題一覧!G163&amp;"個"</f>
        <v>4個</v>
      </c>
      <c r="E163" s="7"/>
      <c r="F163" s="23"/>
    </row>
    <row r="164" spans="1:6" ht="33.75" customHeight="1">
      <c r="A164" s="23">
        <f>問題一覧!A164</f>
        <v>163</v>
      </c>
      <c r="B164" s="23" t="str">
        <f>問題一覧!B164</f>
        <v>術後鎮痛</v>
      </c>
      <c r="C164" s="7" t="str">
        <f>問題一覧!D164</f>
        <v>術後の呼吸抑制のリスク因子は。</v>
      </c>
      <c r="D164" s="23" t="str">
        <f>問題一覧!G164&amp;"個"</f>
        <v>5個</v>
      </c>
      <c r="E164" s="7"/>
      <c r="F164" s="23"/>
    </row>
    <row r="165" spans="1:6" ht="33.75" customHeight="1">
      <c r="A165" s="23">
        <f>問題一覧!A165</f>
        <v>164</v>
      </c>
      <c r="B165" s="23" t="str">
        <f>問題一覧!B165</f>
        <v>術後鎮痛</v>
      </c>
      <c r="C165" s="7" t="str">
        <f>問題一覧!D165</f>
        <v>慢性的にオピオイドを内服している患者の術後鎮痛は。</v>
      </c>
      <c r="D165" s="23" t="str">
        <f>問題一覧!G165&amp;"個"</f>
        <v>4個</v>
      </c>
      <c r="E165" s="7"/>
      <c r="F165" s="23"/>
    </row>
    <row r="166" spans="1:6" ht="33.75" customHeight="1">
      <c r="A166" s="23">
        <f>問題一覧!A166</f>
        <v>165</v>
      </c>
      <c r="B166" s="23" t="str">
        <f>問題一覧!B166</f>
        <v>術後鎮痛</v>
      </c>
      <c r="C166" s="7" t="str">
        <f>問題一覧!D166</f>
        <v>術後シバリングの原因と対応は。</v>
      </c>
      <c r="D166" s="23" t="str">
        <f>問題一覧!G166&amp;"個"</f>
        <v>5個</v>
      </c>
      <c r="E166" s="7"/>
      <c r="F166" s="23"/>
    </row>
    <row r="167" spans="1:6" ht="33.75" customHeight="1">
      <c r="A167" s="23">
        <f>問題一覧!A167</f>
        <v>166</v>
      </c>
      <c r="B167" s="23" t="str">
        <f>問題一覧!B167</f>
        <v>術後鎮痛</v>
      </c>
      <c r="C167" s="7" t="str">
        <f>問題一覧!D167</f>
        <v>術後せん妄の予防策は。</v>
      </c>
      <c r="D167" s="23" t="str">
        <f>問題一覧!G167&amp;"個"</f>
        <v>4個</v>
      </c>
      <c r="E167" s="7"/>
      <c r="F167" s="23"/>
    </row>
    <row r="168" spans="1:6" ht="33.75" customHeight="1">
      <c r="A168" s="23">
        <f>問題一覧!A168</f>
        <v>167</v>
      </c>
      <c r="B168" s="23" t="str">
        <f>問題一覧!B168</f>
        <v>モニタ・機器</v>
      </c>
      <c r="C168" s="7" t="str">
        <f>問題一覧!D168</f>
        <v>SpO2の値が信頼できなくなる状況は。</v>
      </c>
      <c r="D168" s="23" t="str">
        <f>問題一覧!G168&amp;"個"</f>
        <v>4個</v>
      </c>
      <c r="E168" s="7"/>
      <c r="F168" s="23"/>
    </row>
    <row r="169" spans="1:6" ht="33.75" customHeight="1">
      <c r="A169" s="23">
        <f>問題一覧!A169</f>
        <v>168</v>
      </c>
      <c r="B169" s="23" t="str">
        <f>問題一覧!B169</f>
        <v>モニタ・機器</v>
      </c>
      <c r="C169" s="7" t="str">
        <f>問題一覧!D169</f>
        <v>観血的動脈圧ラインの適応は。</v>
      </c>
      <c r="D169" s="23" t="str">
        <f>問題一覧!G169&amp;"個"</f>
        <v>4個</v>
      </c>
      <c r="E169" s="7"/>
      <c r="F169" s="23"/>
    </row>
    <row r="170" spans="1:6" ht="33.75" customHeight="1">
      <c r="A170" s="23">
        <f>問題一覧!A170</f>
        <v>169</v>
      </c>
      <c r="B170" s="23" t="str">
        <f>問題一覧!B170</f>
        <v>モニタ・機器</v>
      </c>
      <c r="C170" s="7" t="str">
        <f>問題一覧!D170</f>
        <v>動脈圧波形がなまる（ダンピング）原因は。</v>
      </c>
      <c r="D170" s="23" t="str">
        <f>問題一覧!G170&amp;"個"</f>
        <v>5個</v>
      </c>
      <c r="E170" s="7"/>
      <c r="F170" s="23"/>
    </row>
    <row r="171" spans="1:6" ht="33.75" customHeight="1">
      <c r="A171" s="23">
        <f>問題一覧!A171</f>
        <v>170</v>
      </c>
      <c r="B171" s="23" t="str">
        <f>問題一覧!B171</f>
        <v>モニタ・機器</v>
      </c>
      <c r="C171" s="7" t="str">
        <f>問題一覧!D171</f>
        <v>中心静脈カテーテル挿入の合併症は。</v>
      </c>
      <c r="D171" s="23" t="str">
        <f>問題一覧!G171&amp;"個"</f>
        <v>5個</v>
      </c>
      <c r="E171" s="7"/>
      <c r="F171" s="23"/>
    </row>
    <row r="172" spans="1:6" ht="33.75" customHeight="1">
      <c r="A172" s="23">
        <f>問題一覧!A172</f>
        <v>171</v>
      </c>
      <c r="B172" s="23" t="str">
        <f>問題一覧!B172</f>
        <v>モニタ・機器</v>
      </c>
      <c r="C172" s="7" t="str">
        <f>問題一覧!D172</f>
        <v>電気メスによるモニタへの影響は。</v>
      </c>
      <c r="D172" s="23" t="str">
        <f>問題一覧!G172&amp;"個"</f>
        <v>2個</v>
      </c>
      <c r="E172" s="7"/>
      <c r="F172" s="23"/>
    </row>
    <row r="173" spans="1:6" ht="33.75" customHeight="1">
      <c r="A173" s="23">
        <f>問題一覧!A173</f>
        <v>172</v>
      </c>
      <c r="B173" s="23" t="str">
        <f>問題一覧!B173</f>
        <v>モニタ・機器</v>
      </c>
      <c r="C173" s="7" t="str">
        <f>問題一覧!D173</f>
        <v>ソーダライムの消耗を示す所見は。</v>
      </c>
      <c r="D173" s="23" t="str">
        <f>問題一覧!G173&amp;"個"</f>
        <v>3個</v>
      </c>
      <c r="E173" s="7"/>
      <c r="F173" s="23"/>
    </row>
    <row r="174" spans="1:6" ht="33.75" customHeight="1">
      <c r="A174" s="23">
        <f>問題一覧!A174</f>
        <v>173</v>
      </c>
      <c r="B174" s="23" t="str">
        <f>問題一覧!B174</f>
        <v>モニタ・機器</v>
      </c>
      <c r="C174" s="7" t="str">
        <f>問題一覧!D174</f>
        <v>術中に酸素供給が途絶したときの対応は。</v>
      </c>
      <c r="D174" s="23" t="str">
        <f>問題一覧!G174&amp;"個"</f>
        <v>5個</v>
      </c>
      <c r="E174" s="7"/>
      <c r="F174" s="23"/>
    </row>
    <row r="175" spans="1:6" ht="33.75" customHeight="1">
      <c r="A175" s="23">
        <f>問題一覧!A175</f>
        <v>174</v>
      </c>
      <c r="B175" s="23" t="str">
        <f>問題一覧!B175</f>
        <v>モニタ・機器</v>
      </c>
      <c r="C175" s="7" t="str">
        <f>問題一覧!D175</f>
        <v>体温モニタの測定部位と特徴は。</v>
      </c>
      <c r="D175" s="23" t="str">
        <f>問題一覧!G175&amp;"個"</f>
        <v>4個</v>
      </c>
      <c r="E175" s="7"/>
      <c r="F175" s="23"/>
    </row>
    <row r="176" spans="1:6" ht="33.75" customHeight="1">
      <c r="A176" s="23">
        <f>問題一覧!A176</f>
        <v>175</v>
      </c>
      <c r="B176" s="23" t="str">
        <f>問題一覧!B176</f>
        <v>モニタ・機器</v>
      </c>
      <c r="C176" s="7" t="str">
        <f>問題一覧!D176</f>
        <v>SVV・PPVで輸液反応性を評価できる条件は。</v>
      </c>
      <c r="D176" s="23" t="str">
        <f>問題一覧!G176&amp;"個"</f>
        <v>4個</v>
      </c>
      <c r="E176" s="7"/>
      <c r="F176" s="23"/>
    </row>
    <row r="177" spans="1:6" ht="33.75" customHeight="1">
      <c r="A177" s="23">
        <f>問題一覧!A177</f>
        <v>176</v>
      </c>
      <c r="B177" s="23" t="str">
        <f>問題一覧!B177</f>
        <v>モニタ・機器</v>
      </c>
      <c r="C177" s="7" t="str">
        <f>問題一覧!D177</f>
        <v>筋弛緩モニタの装着部位と注意点は。</v>
      </c>
      <c r="D177" s="23" t="str">
        <f>問題一覧!G177&amp;"個"</f>
        <v>4個</v>
      </c>
      <c r="E177" s="7"/>
      <c r="F177" s="23"/>
    </row>
    <row r="178" spans="1:6" ht="33.75" customHeight="1">
      <c r="A178" s="23">
        <f>問題一覧!A178</f>
        <v>177</v>
      </c>
      <c r="B178" s="23" t="str">
        <f>問題一覧!B178</f>
        <v>モニタ・機器</v>
      </c>
      <c r="C178" s="7" t="str">
        <f>問題一覧!D178</f>
        <v>術中の血液ガスで確認する項目は。</v>
      </c>
      <c r="D178" s="23" t="str">
        <f>問題一覧!G178&amp;"個"</f>
        <v>6個</v>
      </c>
      <c r="E178" s="7"/>
      <c r="F178" s="23"/>
    </row>
    <row r="179" spans="1:6" ht="33.75" customHeight="1">
      <c r="A179" s="23">
        <f>問題一覧!A179</f>
        <v>178</v>
      </c>
      <c r="B179" s="23" t="str">
        <f>問題一覧!B179</f>
        <v>モニタ・機器</v>
      </c>
      <c r="C179" s="7" t="str">
        <f>問題一覧!D179</f>
        <v>SpO2とEtCO2の役割の違いは。</v>
      </c>
      <c r="D179" s="23" t="str">
        <f>問題一覧!G179&amp;"個"</f>
        <v>3個</v>
      </c>
      <c r="E179" s="7"/>
      <c r="F179" s="23"/>
    </row>
    <row r="180" spans="1:6" ht="33.75" customHeight="1">
      <c r="A180" s="23">
        <f>問題一覧!A180</f>
        <v>179</v>
      </c>
      <c r="B180" s="23" t="str">
        <f>問題一覧!B180</f>
        <v>モニタ・機器</v>
      </c>
      <c r="C180" s="7" t="str">
        <f>問題一覧!D180</f>
        <v>温風式加温装置の使用上の注意。</v>
      </c>
      <c r="D180" s="23" t="str">
        <f>問題一覧!G180&amp;"個"</f>
        <v>3個</v>
      </c>
      <c r="E180" s="7"/>
      <c r="F180" s="23"/>
    </row>
    <row r="181" spans="1:6" ht="33.75" customHeight="1">
      <c r="A181" s="23">
        <f>問題一覧!A181</f>
        <v>180</v>
      </c>
      <c r="B181" s="23" t="str">
        <f>問題一覧!B181</f>
        <v>小児麻酔</v>
      </c>
      <c r="C181" s="7" t="str">
        <f>問題一覧!D181</f>
        <v>小児の術前絶飲食時間の目安は。</v>
      </c>
      <c r="D181" s="23" t="str">
        <f>問題一覧!G181&amp;"個"</f>
        <v>4個</v>
      </c>
      <c r="E181" s="7"/>
      <c r="F181" s="23"/>
    </row>
    <row r="182" spans="1:6" ht="33.75" customHeight="1">
      <c r="A182" s="23">
        <f>問題一覧!A182</f>
        <v>181</v>
      </c>
      <c r="B182" s="23" t="str">
        <f>問題一覧!B182</f>
        <v>小児麻酔</v>
      </c>
      <c r="C182" s="7" t="str">
        <f>問題一覧!D182</f>
        <v>小児の気道の解剖学的特徴は。</v>
      </c>
      <c r="D182" s="23" t="str">
        <f>問題一覧!G182&amp;"個"</f>
        <v>6個</v>
      </c>
      <c r="E182" s="7"/>
      <c r="F182" s="23"/>
    </row>
    <row r="183" spans="1:6" ht="33.75" customHeight="1">
      <c r="A183" s="23">
        <f>問題一覧!A183</f>
        <v>182</v>
      </c>
      <c r="B183" s="23" t="str">
        <f>問題一覧!B183</f>
        <v>小児麻酔</v>
      </c>
      <c r="C183" s="7" t="str">
        <f>問題一覧!D183</f>
        <v>小児の気管チューブのサイズと深さの目安は。</v>
      </c>
      <c r="D183" s="23" t="str">
        <f>問題一覧!G183&amp;"個"</f>
        <v>4個</v>
      </c>
      <c r="E183" s="7"/>
      <c r="F183" s="23"/>
    </row>
    <row r="184" spans="1:6" ht="33.75" customHeight="1">
      <c r="A184" s="23">
        <f>問題一覧!A184</f>
        <v>183</v>
      </c>
      <c r="B184" s="23" t="str">
        <f>問題一覧!B184</f>
        <v>小児麻酔</v>
      </c>
      <c r="C184" s="7" t="str">
        <f>問題一覧!D184</f>
        <v>喉頭痙攣の対応は。</v>
      </c>
      <c r="D184" s="23" t="str">
        <f>問題一覧!G184&amp;"個"</f>
        <v>5個</v>
      </c>
      <c r="E184" s="7"/>
      <c r="F184" s="23"/>
    </row>
    <row r="185" spans="1:6" ht="33.75" customHeight="1">
      <c r="A185" s="23">
        <f>問題一覧!A185</f>
        <v>184</v>
      </c>
      <c r="B185" s="23" t="str">
        <f>問題一覧!B185</f>
        <v>小児麻酔</v>
      </c>
      <c r="C185" s="7" t="str">
        <f>問題一覧!D185</f>
        <v>小児の維持輸液量（4-2-1ルール）は。</v>
      </c>
      <c r="D185" s="23" t="str">
        <f>問題一覧!G185&amp;"個"</f>
        <v>4個</v>
      </c>
      <c r="E185" s="7"/>
      <c r="F185" s="23"/>
    </row>
    <row r="186" spans="1:6" ht="33.75" customHeight="1">
      <c r="A186" s="23">
        <f>問題一覧!A186</f>
        <v>185</v>
      </c>
      <c r="B186" s="23" t="str">
        <f>問題一覧!B186</f>
        <v>小児麻酔</v>
      </c>
      <c r="C186" s="7" t="str">
        <f>問題一覧!D186</f>
        <v>小児の循環の特徴は。</v>
      </c>
      <c r="D186" s="23" t="str">
        <f>問題一覧!G186&amp;"個"</f>
        <v>4個</v>
      </c>
      <c r="E186" s="7"/>
      <c r="F186" s="23"/>
    </row>
    <row r="187" spans="1:6" ht="33.75" customHeight="1">
      <c r="A187" s="23">
        <f>問題一覧!A187</f>
        <v>186</v>
      </c>
      <c r="B187" s="23" t="str">
        <f>問題一覧!B187</f>
        <v>小児麻酔</v>
      </c>
      <c r="C187" s="7" t="str">
        <f>問題一覧!D187</f>
        <v>小児の術中徐脈・低酸素への対応は。</v>
      </c>
      <c r="D187" s="23" t="str">
        <f>問題一覧!G187&amp;"個"</f>
        <v>5個</v>
      </c>
      <c r="E187" s="7"/>
      <c r="F187" s="23"/>
    </row>
    <row r="188" spans="1:6" ht="33.75" customHeight="1">
      <c r="A188" s="23">
        <f>問題一覧!A188</f>
        <v>187</v>
      </c>
      <c r="B188" s="23" t="str">
        <f>問題一覧!B188</f>
        <v>小児麻酔</v>
      </c>
      <c r="C188" s="7" t="str">
        <f>問題一覧!D188</f>
        <v>小児でよく使う薬の体重あたりの用量は。</v>
      </c>
      <c r="D188" s="23" t="str">
        <f>問題一覧!G188&amp;"個"</f>
        <v>5個</v>
      </c>
      <c r="E188" s="7"/>
      <c r="F188" s="23"/>
    </row>
    <row r="189" spans="1:6" ht="33.75" customHeight="1">
      <c r="A189" s="23">
        <f>問題一覧!A189</f>
        <v>188</v>
      </c>
      <c r="B189" s="23" t="str">
        <f>問題一覧!B189</f>
        <v>小児麻酔</v>
      </c>
      <c r="C189" s="7" t="str">
        <f>問題一覧!D189</f>
        <v>覚醒時興奮（emergence delirium）の予防は。</v>
      </c>
      <c r="D189" s="23" t="str">
        <f>問題一覧!G189&amp;"個"</f>
        <v>4個</v>
      </c>
      <c r="E189" s="7"/>
      <c r="F189" s="23"/>
    </row>
    <row r="190" spans="1:6" ht="33.75" customHeight="1">
      <c r="A190" s="23">
        <f>問題一覧!A190</f>
        <v>189</v>
      </c>
      <c r="B190" s="23" t="str">
        <f>問題一覧!B190</f>
        <v>小児麻酔</v>
      </c>
      <c r="C190" s="7" t="str">
        <f>問題一覧!D190</f>
        <v>小児の術後に起こりやすい合併症は。</v>
      </c>
      <c r="D190" s="23" t="str">
        <f>問題一覧!G190&amp;"個"</f>
        <v>6個</v>
      </c>
      <c r="E190" s="7"/>
      <c r="F190" s="23"/>
    </row>
    <row r="191" spans="1:6" ht="33.75" customHeight="1">
      <c r="A191" s="23">
        <f>問題一覧!A191</f>
        <v>190</v>
      </c>
      <c r="B191" s="23" t="str">
        <f>問題一覧!B191</f>
        <v>小児麻酔</v>
      </c>
      <c r="C191" s="7" t="str">
        <f>問題一覧!D191</f>
        <v>元早産児の術後無呼吸への対応は。</v>
      </c>
      <c r="D191" s="23" t="str">
        <f>問題一覧!G191&amp;"個"</f>
        <v>4個</v>
      </c>
      <c r="E191" s="7"/>
      <c r="F191" s="23"/>
    </row>
    <row r="192" spans="1:6" ht="33.75" customHeight="1">
      <c r="A192" s="23">
        <f>問題一覧!A192</f>
        <v>191</v>
      </c>
      <c r="B192" s="23" t="str">
        <f>問題一覧!B192</f>
        <v>小児麻酔</v>
      </c>
      <c r="C192" s="7" t="str">
        <f>問題一覧!D192</f>
        <v>上気道感染のある小児の手術可否の判断は。</v>
      </c>
      <c r="D192" s="23" t="str">
        <f>問題一覧!G192&amp;"個"</f>
        <v>4個</v>
      </c>
      <c r="E192" s="7"/>
      <c r="F192" s="23"/>
    </row>
    <row r="193" spans="1:6" ht="33.75" customHeight="1">
      <c r="A193" s="23">
        <f>問題一覧!A193</f>
        <v>192</v>
      </c>
      <c r="B193" s="23" t="str">
        <f>問題一覧!B193</f>
        <v>小児麻酔</v>
      </c>
      <c r="C193" s="7" t="str">
        <f>問題一覧!D193</f>
        <v>小児の体温管理の注意点は。</v>
      </c>
      <c r="D193" s="23" t="str">
        <f>問題一覧!G193&amp;"個"</f>
        <v>4個</v>
      </c>
      <c r="E193" s="7"/>
      <c r="F193" s="23"/>
    </row>
    <row r="194" spans="1:6" ht="33.75" customHeight="1">
      <c r="A194" s="23">
        <f>問題一覧!A194</f>
        <v>193</v>
      </c>
      <c r="B194" s="23" t="str">
        <f>問題一覧!B194</f>
        <v>小児麻酔</v>
      </c>
      <c r="C194" s="7" t="str">
        <f>問題一覧!D194</f>
        <v>小児の緩徐導入（吸入導入）の注意点は。</v>
      </c>
      <c r="D194" s="23" t="str">
        <f>問題一覧!G194&amp;"個"</f>
        <v>5個</v>
      </c>
      <c r="E194" s="7"/>
      <c r="F194" s="23"/>
    </row>
    <row r="195" spans="1:6" ht="33.75" customHeight="1">
      <c r="A195" s="23">
        <f>問題一覧!A195</f>
        <v>194</v>
      </c>
      <c r="B195" s="23" t="str">
        <f>問題一覧!B195</f>
        <v>小児麻酔</v>
      </c>
      <c r="C195" s="7" t="str">
        <f>問題一覧!D195</f>
        <v>小児の仙骨硬膜外ブロックの適応と注意点は。</v>
      </c>
      <c r="D195" s="23" t="str">
        <f>問題一覧!G195&amp;"個"</f>
        <v>5個</v>
      </c>
      <c r="E195" s="7"/>
      <c r="F195" s="23"/>
    </row>
    <row r="196" spans="1:6" ht="33.75" customHeight="1">
      <c r="A196" s="23">
        <f>問題一覧!A196</f>
        <v>195</v>
      </c>
      <c r="B196" s="23" t="str">
        <f>問題一覧!B196</f>
        <v>輸血・凝固</v>
      </c>
      <c r="C196" s="7" t="str">
        <f>問題一覧!D196</f>
        <v>術中の輸血開始の目安を早める要素。</v>
      </c>
      <c r="D196" s="23" t="str">
        <f>問題一覧!G196&amp;"個"</f>
        <v>4個</v>
      </c>
      <c r="E196" s="7"/>
      <c r="F196" s="23"/>
    </row>
    <row r="197" spans="1:6" ht="33.75" customHeight="1">
      <c r="A197" s="23">
        <f>問題一覧!A197</f>
        <v>196</v>
      </c>
      <c r="B197" s="23" t="str">
        <f>問題一覧!B197</f>
        <v>輸血・凝固</v>
      </c>
      <c r="C197" s="7" t="str">
        <f>問題一覧!D197</f>
        <v>回収式自己血輸血を行えない（行いにくい）のはどんな時。</v>
      </c>
      <c r="D197" s="23" t="str">
        <f>問題一覧!G197&amp;"個"</f>
        <v>2個</v>
      </c>
      <c r="F197" s="23"/>
    </row>
    <row r="198" spans="1:6" ht="33.75" customHeight="1">
      <c r="A198" s="23">
        <f>問題一覧!A198</f>
        <v>197</v>
      </c>
      <c r="B198" s="23" t="str">
        <f>問題一覧!B198</f>
        <v>術中維持の基本</v>
      </c>
      <c r="C198" s="7" t="str">
        <f>問題一覧!D198</f>
        <v>セボフルランの一般的な維持濃度は。</v>
      </c>
      <c r="D198" s="23" t="str">
        <f>問題一覧!G198&amp;"個"</f>
        <v>1個</v>
      </c>
      <c r="E198" s="7"/>
      <c r="F198" s="23"/>
    </row>
    <row r="199" spans="1:6" ht="33.75" customHeight="1">
      <c r="A199" s="23">
        <f>問題一覧!A199</f>
        <v>198</v>
      </c>
      <c r="B199" s="23" t="str">
        <f>問題一覧!B199</f>
        <v>術中維持の基本</v>
      </c>
      <c r="C199" s="7" t="str">
        <f>問題一覧!D199</f>
        <v>血圧の一般的な維持目標</v>
      </c>
      <c r="D199" s="23" t="str">
        <f>問題一覧!G199&amp;"個"</f>
        <v>1個</v>
      </c>
      <c r="E199" s="7"/>
      <c r="F199" s="23"/>
    </row>
    <row r="200" spans="1:6" ht="33.75" customHeight="1">
      <c r="A200" s="23">
        <f>問題一覧!A200</f>
        <v>199</v>
      </c>
      <c r="B200" s="23" t="str">
        <f>問題一覧!B200</f>
        <v>術中維持の基本</v>
      </c>
      <c r="C200" s="7" t="str">
        <f>問題一覧!D200</f>
        <v>ロクロニウムの一般的な追加タイミング（腹腔鏡手術時のTOF値、それ以外の手術）</v>
      </c>
      <c r="D200" s="23" t="str">
        <f>問題一覧!G200&amp;"個"</f>
        <v>2個</v>
      </c>
      <c r="E200" s="7"/>
      <c r="F200" s="23"/>
    </row>
    <row r="201" spans="1:6" ht="33.75" customHeight="1">
      <c r="A201" s="23">
        <f>問題一覧!A201</f>
        <v>200</v>
      </c>
      <c r="B201" s="23" t="str">
        <f>問題一覧!B201</f>
        <v>術中維持の基本</v>
      </c>
      <c r="C201" s="7" t="str">
        <f>問題一覧!D201</f>
        <v>デスフルランの一般的な維持濃度は。</v>
      </c>
      <c r="D201" s="23" t="str">
        <f>問題一覧!G201&amp;"個"</f>
        <v>1個</v>
      </c>
      <c r="E201" s="7"/>
      <c r="F201" s="23"/>
    </row>
    <row r="202" spans="1:6" ht="33.75" customHeight="1">
      <c r="A202" s="23">
        <f>問題一覧!A202</f>
        <v>201</v>
      </c>
      <c r="E202" s="7"/>
      <c r="F202" s="23"/>
    </row>
    <row r="203" spans="1:6" ht="33.75" customHeight="1">
      <c r="A203" s="23">
        <f>問題一覧!A203</f>
        <v>202</v>
      </c>
      <c r="E203" s="7"/>
      <c r="F203" s="23"/>
    </row>
    <row r="204" spans="1:6" ht="33.75" customHeight="1">
      <c r="A204" s="23">
        <f>問題一覧!A204</f>
        <v>203</v>
      </c>
      <c r="E204" s="7"/>
      <c r="F204" s="23"/>
    </row>
    <row r="205" spans="1:6" ht="33.75" customHeight="1">
      <c r="A205" s="23">
        <f>問題一覧!A205</f>
        <v>204</v>
      </c>
      <c r="E205" s="7"/>
      <c r="F205" s="23"/>
    </row>
    <row r="206" spans="1:6" ht="33.75" customHeight="1">
      <c r="A206" s="23">
        <f>問題一覧!A206</f>
        <v>205</v>
      </c>
      <c r="E206" s="7"/>
      <c r="F206" s="23"/>
    </row>
    <row r="207" spans="1:6" ht="33.75" customHeight="1">
      <c r="A207" s="23">
        <f>問題一覧!A207</f>
        <v>206</v>
      </c>
      <c r="E207" s="7"/>
      <c r="F207" s="23"/>
    </row>
  </sheetData>
  <phoneticPr fontId="8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1"/>
  <sheetViews>
    <sheetView zoomScaleNormal="100" workbookViewId="0">
      <selection activeCell="C17" sqref="C17"/>
    </sheetView>
  </sheetViews>
  <sheetFormatPr baseColWidth="10" defaultColWidth="8.6640625" defaultRowHeight="15"/>
  <cols>
    <col min="1" max="1" width="20" customWidth="1"/>
    <col min="2" max="3" width="10" customWidth="1"/>
  </cols>
  <sheetData>
    <row r="1" spans="1:3">
      <c r="A1" s="24" t="s">
        <v>1</v>
      </c>
      <c r="B1" s="24" t="s">
        <v>438</v>
      </c>
      <c r="C1" s="24" t="s">
        <v>439</v>
      </c>
    </row>
    <row r="2" spans="1:3" ht="18">
      <c r="A2" s="25" t="s">
        <v>9</v>
      </c>
      <c r="B2" s="25">
        <f>COUNTIF(問題一覧!$B$2:$B$999,A2)</f>
        <v>26</v>
      </c>
      <c r="C2" s="26">
        <f t="shared" ref="C2:C11" si="0">IFERROR(B2/$B$11,0)</f>
        <v>0.13</v>
      </c>
    </row>
    <row r="3" spans="1:3" ht="18">
      <c r="A3" s="25" t="s">
        <v>57</v>
      </c>
      <c r="B3" s="25">
        <f>COUNTIF(問題一覧!$B$2:$B$999,A3)</f>
        <v>32</v>
      </c>
      <c r="C3" s="26">
        <f t="shared" si="0"/>
        <v>0.16</v>
      </c>
    </row>
    <row r="4" spans="1:3" ht="18">
      <c r="A4" s="25" t="s">
        <v>118</v>
      </c>
      <c r="B4" s="25">
        <f>COUNTIF(問題一覧!$B$2:$B$999,A4)</f>
        <v>20</v>
      </c>
      <c r="C4" s="26">
        <f t="shared" si="0"/>
        <v>0.1</v>
      </c>
    </row>
    <row r="5" spans="1:3" ht="18">
      <c r="A5" s="25" t="s">
        <v>155</v>
      </c>
      <c r="B5" s="25">
        <f>COUNTIF(問題一覧!$B$2:$B$999,A5)</f>
        <v>38</v>
      </c>
      <c r="C5" s="26">
        <f t="shared" si="0"/>
        <v>0.19</v>
      </c>
    </row>
    <row r="6" spans="1:3" ht="18">
      <c r="A6" s="25" t="s">
        <v>255</v>
      </c>
      <c r="B6" s="25">
        <f>COUNTIF(問題一覧!$B$2:$B$999,A6)</f>
        <v>28</v>
      </c>
      <c r="C6" s="26">
        <f t="shared" si="0"/>
        <v>0.14000000000000001</v>
      </c>
    </row>
    <row r="7" spans="1:3" ht="18">
      <c r="A7" s="25" t="s">
        <v>310</v>
      </c>
      <c r="B7" s="25">
        <f>COUNTIF(問題一覧!$B$2:$B$999,A7)</f>
        <v>16</v>
      </c>
      <c r="C7" s="26">
        <f t="shared" si="0"/>
        <v>0.08</v>
      </c>
    </row>
    <row r="8" spans="1:3" ht="18">
      <c r="A8" s="25" t="s">
        <v>341</v>
      </c>
      <c r="B8" s="25">
        <f>COUNTIF(問題一覧!$B$2:$B$999,A8)</f>
        <v>12</v>
      </c>
      <c r="C8" s="26">
        <f t="shared" si="0"/>
        <v>0.06</v>
      </c>
    </row>
    <row r="9" spans="1:3" ht="18">
      <c r="A9" s="25" t="s">
        <v>370</v>
      </c>
      <c r="B9" s="25">
        <f>COUNTIF(問題一覧!$B$2:$B$999,A9)</f>
        <v>13</v>
      </c>
      <c r="C9" s="26">
        <f t="shared" si="0"/>
        <v>6.5000000000000002E-2</v>
      </c>
    </row>
    <row r="10" spans="1:3" ht="18">
      <c r="A10" s="25" t="s">
        <v>400</v>
      </c>
      <c r="B10" s="25">
        <f>COUNTIF(問題一覧!$B$2:$B$195,A10)</f>
        <v>15</v>
      </c>
      <c r="C10" s="26">
        <f t="shared" si="0"/>
        <v>7.4999999999999997E-2</v>
      </c>
    </row>
    <row r="11" spans="1:3" ht="18">
      <c r="A11" s="27" t="s">
        <v>440</v>
      </c>
      <c r="B11" s="27">
        <f>SUM(B2:B10)</f>
        <v>200</v>
      </c>
      <c r="C11" s="28">
        <f t="shared" si="0"/>
        <v>1</v>
      </c>
    </row>
  </sheetData>
  <phoneticPr fontId="8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2"/>
  <sheetViews>
    <sheetView zoomScaleNormal="100" workbookViewId="0"/>
  </sheetViews>
  <sheetFormatPr baseColWidth="10" defaultColWidth="8.6640625" defaultRowHeight="15"/>
  <cols>
    <col min="1" max="1" width="110" customWidth="1"/>
  </cols>
  <sheetData>
    <row r="1" spans="1:1" ht="16">
      <c r="A1" s="29" t="s">
        <v>441</v>
      </c>
    </row>
    <row r="2" spans="1:1" ht="18">
      <c r="A2" s="30"/>
    </row>
    <row r="3" spans="1:1">
      <c r="A3" s="31" t="s">
        <v>442</v>
      </c>
    </row>
    <row r="4" spans="1:1">
      <c r="A4" s="32" t="s">
        <v>443</v>
      </c>
    </row>
    <row r="5" spans="1:1">
      <c r="A5" s="32" t="s">
        <v>444</v>
      </c>
    </row>
    <row r="6" spans="1:1">
      <c r="A6" s="32" t="s">
        <v>445</v>
      </c>
    </row>
    <row r="7" spans="1:1" ht="18">
      <c r="A7" s="30"/>
    </row>
    <row r="8" spans="1:1">
      <c r="A8" s="31" t="s">
        <v>446</v>
      </c>
    </row>
    <row r="9" spans="1:1" ht="18">
      <c r="A9" s="30" t="s">
        <v>447</v>
      </c>
    </row>
    <row r="10" spans="1:1" ht="18">
      <c r="A10" s="30" t="s">
        <v>448</v>
      </c>
    </row>
    <row r="11" spans="1:1" ht="18">
      <c r="A11" s="30" t="s">
        <v>449</v>
      </c>
    </row>
    <row r="12" spans="1:1" ht="18">
      <c r="A12" s="30" t="s">
        <v>450</v>
      </c>
    </row>
    <row r="13" spans="1:1" ht="18">
      <c r="A13" s="30"/>
    </row>
    <row r="14" spans="1:1">
      <c r="A14" s="31" t="s">
        <v>451</v>
      </c>
    </row>
    <row r="15" spans="1:1" ht="18">
      <c r="A15" s="32" t="s">
        <v>452</v>
      </c>
    </row>
    <row r="16" spans="1:1">
      <c r="A16" s="32" t="s">
        <v>453</v>
      </c>
    </row>
    <row r="17" spans="1:1" ht="18">
      <c r="A17" s="32" t="s">
        <v>454</v>
      </c>
    </row>
    <row r="18" spans="1:1" ht="18">
      <c r="A18" s="30"/>
    </row>
    <row r="19" spans="1:1">
      <c r="A19" s="31" t="s">
        <v>455</v>
      </c>
    </row>
    <row r="20" spans="1:1">
      <c r="A20" s="32" t="s">
        <v>456</v>
      </c>
    </row>
    <row r="21" spans="1:1" ht="18">
      <c r="A21" s="32" t="s">
        <v>457</v>
      </c>
    </row>
    <row r="22" spans="1:1">
      <c r="A22" s="32" t="s">
        <v>458</v>
      </c>
    </row>
  </sheetData>
  <phoneticPr fontId="8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問題一覧</vt:lpstr>
      <vt:lpstr>出題用（解答欄）</vt:lpstr>
      <vt:lpstr>分野別集計</vt:lpstr>
      <vt:lpstr>使い方・凡例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伊加 真士</cp:lastModifiedBy>
  <cp:revision>0</cp:revision>
  <dcterms:created xsi:type="dcterms:W3CDTF">2026-08-01T13:18:25Z</dcterms:created>
  <dcterms:modified xsi:type="dcterms:W3CDTF">2026-08-02T01:50:43Z</dcterms:modified>
  <dc:language>en-US</dc:language>
</cp:coreProperties>
</file>